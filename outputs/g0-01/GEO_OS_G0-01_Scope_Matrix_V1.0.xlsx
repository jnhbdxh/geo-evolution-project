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ce621ff15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Matrix" sheetId="1" r:id="R706aeff9846e4fe5"/>
    <x:sheet xmlns:r="http://schemas.openxmlformats.org/officeDocument/2006/relationships" name="Authority Map" sheetId="2" r:id="Reb414da1581c4a00"/>
    <x:sheet xmlns:r="http://schemas.openxmlformats.org/officeDocument/2006/relationships" name="Change Control" sheetId="3" r:id="R937be4f7f5154c27"/>
    <x:sheet xmlns:r="http://schemas.openxmlformats.org/officeDocument/2006/relationships" name="Open Decisions" sheetId="4" r:id="R0ae73872dcb3452f"/>
    <x:sheet xmlns:r="http://schemas.openxmlformats.org/officeDocument/2006/relationships" name="Gate Summary" sheetId="5" r:id="R5843ce7e23f2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0"/>
      <x:color rgb="FFFFFFFF"/>
      <x:name val="Calibri"/>
    </x:font>
    <x:font>
      <x:sz val="10"/>
      <x:color rgb="FF0B2545"/>
      <x:name val="Calibri"/>
    </x:font>
    <x:font>
      <x:b/>
      <x:sz val="11"/>
      <x:color rgb="FF9A6700"/>
      <x:name val="Carlito"/>
    </x:font>
    <x:font>
      <x:b/>
      <x:sz val="9"/>
      <x:color rgb="FF0B2545"/>
      <x:name val="Calibri"/>
    </x:font>
    <x:font>
      <x:sz val="9"/>
      <x:color rgb="FF1F2937"/>
      <x:name val="Calibri"/>
    </x:font>
    <x:font>
      <x:b/>
      <x:sz val="11"/>
      <x:color rgb="FF2F6B45"/>
      <x:name val="Carlito"/>
    </x:font>
    <x:font>
      <x:sz val="10"/>
      <x:color rgb="FF1F2937"/>
      <x:name val="Calibri"/>
    </x:font>
    <x:font>
      <x:b/>
      <x:sz val="12"/>
      <x:color rgb="FFFFFFFF"/>
      <x:name val="Carlito"/>
    </x:font>
    <x:font>
      <x:b/>
      <x:sz val="14"/>
      <x:color rgb="FF9A67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FF4CE"/>
      </x:patternFill>
    </x:fill>
    <x:fill>
      <x:patternFill patternType="solid">
        <x:fgColor rgb="FFE8F3EC"/>
      </x:patternFill>
    </x:fill>
    <x:fill>
      <x:patternFill patternType="solid">
        <x:fgColor rgb="FF2E74B5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left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5" fillId="0" borderId="1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CE"/>
        </x:patternFill>
      </x:fill>
    </x:dxf>
    <x:dxf>
      <x:font>
        <x:b/>
        <x:color rgb="FF9A6700"/>
      </x:font>
      <x:fill>
        <x:patternFill patternType="solid">
          <x:bgColor rgb="FFFFF4CE"/>
        </x:patternFill>
      </x:fill>
    </x:dxf>
    <x:dxf>
      <x:font>
        <x:b/>
        <x:color rgb="FF9A6700"/>
      </x:font>
      <x:fill>
        <x:patternFill patternType="solid">
          <x:bgColor rgb="FFFFF4CE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  <x:dxf>
      <x:font>
        <x:b/>
        <x:color rgb="FF9A6700"/>
      </x:font>
      <x:fill>
        <x:patternFill patternType="solid">
          <x:bgColor rgb="FFFFF4CE"/>
        </x:patternFill>
      </x:fill>
    </x:dxf>
    <x:dxf>
      <x:font>
        <x:b/>
        <x:color rgb="FF2F6B45"/>
      </x:font>
      <x:fill>
        <x:patternFill patternType="solid">
          <x:bgColor rgb="FFE8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4b798ed934275" /><Relationship Type="http://schemas.openxmlformats.org/officeDocument/2006/relationships/theme" Target="/xl/theme/theme1.xml" Id="R9f062a3c956c41bd" /><Relationship Type="http://schemas.openxmlformats.org/officeDocument/2006/relationships/sharedStrings" Target="/xl/sharedStrings.xml" Id="Ra488c913fd6d4aea" /><Relationship Type="http://schemas.openxmlformats.org/officeDocument/2006/relationships/worksheet" Target="/xl/worksheets/sheet1.xml" Id="R706aeff9846e4fe5" /><Relationship Type="http://schemas.openxmlformats.org/officeDocument/2006/relationships/worksheet" Target="/xl/worksheets/sheet2.xml" Id="Reb414da1581c4a00" /><Relationship Type="http://schemas.openxmlformats.org/officeDocument/2006/relationships/worksheet" Target="/xl/worksheets/sheet3.xml" Id="R937be4f7f5154c27" /><Relationship Type="http://schemas.openxmlformats.org/officeDocument/2006/relationships/worksheet" Target="/xl/worksheets/sheet4.xml" Id="R0ae73872dcb3452f" /><Relationship Type="http://schemas.openxmlformats.org/officeDocument/2006/relationships/worksheet" Target="/xl/worksheets/sheet5.xml" Id="R5843ce7e23f24eac" /></Relationships>
</file>

<file path=xl/tables/table1.xml><?xml version="1.0" encoding="utf-8"?>
<x:table xmlns:x="http://schemas.openxmlformats.org/spreadsheetml/2006/main" id="1" name="G001ScopeMatrix" displayName="G001ScopeMatrix" ref="A5:O44" headerRowCount="1" totalsRowCount="0" totalsRowShown="0">
  <x:tableColumns count="15">
    <x:tableColumn id="1" name="Scope ID"/>
    <x:tableColumn id="2" name="Type"/>
    <x:tableColumn id="3" name="Domain"/>
    <x:tableColumn id="4" name="Capability / Module"/>
    <x:tableColumn id="5" name="Scope Decision"/>
    <x:tableColumn id="6" name="MVP Level"/>
    <x:tableColumn id="7" name="Delivery Phase"/>
    <x:tableColumn id="8" name="Authority Domain"/>
    <x:tableColumn id="9" name="Primary Authority"/>
    <x:tableColumn id="10" name="Implementation Authority"/>
    <x:tableColumn id="11" name="Acceptance Criteria"/>
    <x:tableColumn id="12" name="Owner Role"/>
    <x:tableColumn id="13" name="Named Owner"/>
    <x:tableColumn id="14" name="Gate / Dependency"/>
    <x:tableColumn id="15" name="Notes / 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001OpenDecisions" displayName="G001OpenDecisions" ref="A5:I11" headerRowCount="1" totalsRowCount="0" totalsRowShown="0">
  <x:tableColumns count="9">
    <x:tableColumn id="1" name="Decision ID"/>
    <x:tableColumn id="2" name="Decision"/>
    <x:tableColumn id="3" name="Change Class"/>
    <x:tableColumn id="4" name="Affected Scope"/>
    <x:tableColumn id="5" name="Owner"/>
    <x:tableColumn id="6" name="Due Date"/>
    <x:tableColumn id="7" name="Status"/>
    <x:tableColumn id="8" name="Closure Artifact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7abd127870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25566aa51d542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30" hidden="0" customWidth="1"/>
    <x:col min="5" max="5" width="16" hidden="0" customWidth="1"/>
    <x:col min="6" max="6" width="24" hidden="0" customWidth="1"/>
    <x:col min="7" max="7" width="24" hidden="0" customWidth="1"/>
    <x:col min="8" max="8" width="22" hidden="0" customWidth="1"/>
    <x:col min="9" max="9" width="36" hidden="0" customWidth="1"/>
    <x:col min="10" max="10" width="38" hidden="0" customWidth="1"/>
    <x:col min="11" max="11" width="52" hidden="0" customWidth="1"/>
    <x:col min="12" max="12" width="28" hidden="0" customWidth="1"/>
    <x:col min="13" max="13" width="26" hidden="0" customWidth="1"/>
    <x:col min="14" max="14" width="22" hidden="0" customWidth="1"/>
    <x:col min="15" max="15" width="40" hidden="0" customWidth="1"/>
  </x:cols>
  <x:sheetData>
    <x:row r="1" ht="34" customHeight="1">
      <x:c r="A1" s="4" t="str">
        <x:v>GEO OS · G0-01 Scope Matrix V1.0</x:v>
      </x:c>
      <x:c r="B1" s="4" t="str">
        <x:v>GEO OS · G0-01 Scope Matrix V1.0</x:v>
      </x:c>
      <x:c r="C1" s="4" t="str">
        <x:v>GEO OS · G0-01 Scope Matrix V1.0</x:v>
      </x:c>
      <x:c r="D1" s="4" t="str">
        <x:v>GEO OS · G0-01 Scope Matrix V1.0</x:v>
      </x:c>
      <x:c r="E1" s="4" t="str">
        <x:v>GEO OS · G0-01 Scope Matrix V1.0</x:v>
      </x:c>
      <x:c r="F1" s="4" t="str">
        <x:v>GEO OS · G0-01 Scope Matrix V1.0</x:v>
      </x:c>
      <x:c r="G1" s="4" t="str">
        <x:v>GEO OS · G0-01 Scope Matrix V1.0</x:v>
      </x:c>
      <x:c r="H1" s="4" t="str">
        <x:v>GEO OS · G0-01 Scope Matrix V1.0</x:v>
      </x:c>
      <x:c r="I1" s="4" t="str">
        <x:v>GEO OS · G0-01 Scope Matrix V1.0</x:v>
      </x:c>
      <x:c r="J1" s="4" t="str">
        <x:v>GEO OS · G0-01 Scope Matrix V1.0</x:v>
      </x:c>
      <x:c r="K1" s="4" t="str">
        <x:v>GEO OS · G0-01 Scope Matrix V1.0</x:v>
      </x:c>
      <x:c r="L1" s="4" t="str">
        <x:v>GEO OS · G0-01 Scope Matrix V1.0</x:v>
      </x:c>
      <x:c r="M1" s="4" t="str">
        <x:v>GEO OS · G0-01 Scope Matrix V1.0</x:v>
      </x:c>
      <x:c r="N1" s="4" t="str">
        <x:v>GEO OS · G0-01 Scope Matrix V1.0</x:v>
      </x:c>
      <x:c r="O1" s="4" t="str">
        <x:v>GEO OS · G0-01 Scope Matrix V1.0</x:v>
      </x:c>
    </x:row>
    <x:row r="2" ht="24" customHeight="1">
      <x:c r="A2" s="8" t="str">
        <x:v>Gate 状态：OPEN / PENDING REVIEW · Scope、MVP、权威来源、验收与负责人矩阵</x:v>
      </x:c>
      <x:c r="B2" s="8" t="str">
        <x:v>Gate 状态：OPEN / PENDING REVIEW · Scope、MVP、权威来源、验收与负责人矩阵</x:v>
      </x:c>
      <x:c r="C2" s="8" t="str">
        <x:v>Gate 状态：OPEN / PENDING REVIEW · Scope、MVP、权威来源、验收与负责人矩阵</x:v>
      </x:c>
      <x:c r="D2" s="8" t="str">
        <x:v>Gate 状态：OPEN / PENDING REVIEW · Scope、MVP、权威来源、验收与负责人矩阵</x:v>
      </x:c>
      <x:c r="E2" s="8" t="str">
        <x:v>Gate 状态：OPEN / PENDING REVIEW · Scope、MVP、权威来源、验收与负责人矩阵</x:v>
      </x:c>
      <x:c r="F2" s="8" t="str">
        <x:v>Gate 状态：OPEN / PENDING REVIEW · Scope、MVP、权威来源、验收与负责人矩阵</x:v>
      </x:c>
      <x:c r="G2" s="8" t="str">
        <x:v>Gate 状态：OPEN / PENDING REVIEW · Scope、MVP、权威来源、验收与负责人矩阵</x:v>
      </x:c>
      <x:c r="H2" s="8" t="str">
        <x:v>Gate 状态：OPEN / PENDING REVIEW · Scope、MVP、权威来源、验收与负责人矩阵</x:v>
      </x:c>
      <x:c r="I2" s="8" t="str">
        <x:v>Gate 状态：OPEN / PENDING REVIEW · Scope、MVP、权威来源、验收与负责人矩阵</x:v>
      </x:c>
      <x:c r="J2" s="8" t="str">
        <x:v>Gate 状态：OPEN / PENDING REVIEW · Scope、MVP、权威来源、验收与负责人矩阵</x:v>
      </x:c>
      <x:c r="K2" s="8" t="str">
        <x:v>Gate 状态：OPEN / PENDING REVIEW · Scope、MVP、权威来源、验收与负责人矩阵</x:v>
      </x:c>
      <x:c r="L2" s="8" t="str">
        <x:v>Gate 状态：OPEN / PENDING REVIEW · Scope、MVP、权威来源、验收与负责人矩阵</x:v>
      </x:c>
      <x:c r="M2" s="8" t="str">
        <x:v>Gate 状态：OPEN / PENDING REVIEW · Scope、MVP、权威来源、验收与负责人矩阵</x:v>
      </x:c>
      <x:c r="N2" s="8" t="str">
        <x:v>Gate 状态：OPEN / PENDING REVIEW · Scope、MVP、权威来源、验收与负责人矩阵</x:v>
      </x:c>
      <x:c r="O2" s="8" t="str">
        <x:v>Gate 状态：OPEN / PENDING REVIEW · Scope、MVP、权威来源、验收与负责人矩阵</x:v>
      </x:c>
    </x:row>
    <x:row r="3" ht="28" customHeight="1">
      <x:c r="A3" s="12" t="str">
        <x:v>关闭规则：只有全部范围项具备决策、验收、具名负责人，且 Open Decisions 清零后，才可提交 G0-01 CLOSED 审批。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5" ht="34" customHeight="1">
      <x:c r="A5" s="17" t="str">
        <x:v>Scope ID</x:v>
      </x:c>
      <x:c r="B5" s="17" t="str">
        <x:v>Type</x:v>
      </x:c>
      <x:c r="C5" s="17" t="str">
        <x:v>Domain</x:v>
      </x:c>
      <x:c r="D5" s="17" t="str">
        <x:v>Capability / Module</x:v>
      </x:c>
      <x:c r="E5" s="17" t="str">
        <x:v>Scope Decision</x:v>
      </x:c>
      <x:c r="F5" s="17" t="str">
        <x:v>MVP Level</x:v>
      </x:c>
      <x:c r="G5" s="17" t="str">
        <x:v>Delivery Phase</x:v>
      </x:c>
      <x:c r="H5" s="17" t="str">
        <x:v>Authority Domain</x:v>
      </x:c>
      <x:c r="I5" s="17" t="str">
        <x:v>Primary Authority</x:v>
      </x:c>
      <x:c r="J5" s="17" t="str">
        <x:v>Implementation Authority</x:v>
      </x:c>
      <x:c r="K5" s="17" t="str">
        <x:v>Acceptance Criteria</x:v>
      </x:c>
      <x:c r="L5" s="17" t="str">
        <x:v>Owner Role</x:v>
      </x:c>
      <x:c r="M5" s="17" t="str">
        <x:v>Named Owner</x:v>
      </x:c>
      <x:c r="N5" s="17" t="str">
        <x:v>Gate / Dependency</x:v>
      </x:c>
      <x:c r="O5" s="17" t="str">
        <x:v>Notes / Limitation</x:v>
      </x:c>
    </x:row>
    <x:row r="6" ht="56" customHeight="1">
      <x:c r="A6" s="22" t="str">
        <x:v>MOD-01</x:v>
      </x:c>
      <x:c r="B6" s="22" t="str">
        <x:v>MODULE</x:v>
      </x:c>
      <x:c r="C6" s="22" t="str">
        <x:v>Platform</x:v>
      </x:c>
      <x:c r="D6" s="22" t="str">
        <x:v>IAM &amp; Tenant</x:v>
      </x:c>
      <x:c r="E6" s="22" t="str">
        <x:v>IN</x:v>
      </x:c>
      <x:c r="F6" s="22" t="str">
        <x:v>MVP-0 FOUNDATION</x:v>
      </x:c>
      <x:c r="G6" s="22" t="str">
        <x:v>Gate 0 / Foundation</x:v>
      </x:c>
      <x:c r="H6" s="22" t="str">
        <x:v>Technical structure</x:v>
      </x:c>
      <x:c r="I6" s="22" t="str">
        <x:v>Technical Architecture Reconciliation V1.1</x:v>
      </x:c>
      <x:c r="J6" s="22" t="str">
        <x:v>G0-02 Domain Contract + ADR/API/Schema</x:v>
      </x:c>
      <x:c r="K6" s="22" t="str">
        <x:v>受控开通 Tenant；成员、角色和租户上下文可执行；跨租户访问被拒绝并留审计。</x:v>
      </x:c>
      <x:c r="L6" s="22" t="str">
        <x:v>Platform &amp; Security Lead</x:v>
      </x:c>
      <x:c r="M6" s="22" t="str">
        <x:v>TBD before G0-01 close</x:v>
      </x:c>
      <x:c r="N6" s="22" t="str">
        <x:v>G0-02</x:v>
      </x:c>
      <x:c r="O6" s="22" t="str">
        <x:v>不包含自助注册、代理层级、白标、计费和开放 API。</x:v>
      </x:c>
    </x:row>
    <x:row r="7" ht="56" customHeight="1">
      <x:c r="A7" s="22" t="str">
        <x:v>MOD-02</x:v>
      </x:c>
      <x:c r="B7" s="22" t="str">
        <x:v>MODULE</x:v>
      </x:c>
      <x:c r="C7" s="22" t="str">
        <x:v>Core Platform</x:v>
      </x:c>
      <x:c r="D7" s="22" t="str">
        <x:v>Customer / Brand / Project</x:v>
      </x:c>
      <x:c r="E7" s="22" t="str">
        <x:v>IN</x:v>
      </x:c>
      <x:c r="F7" s="22" t="str">
        <x:v>MVP-1 WALKING SKELETON</x:v>
      </x:c>
      <x:c r="G7" s="22" t="str">
        <x:v>Walking Skeleton</x:v>
      </x:c>
      <x:c r="H7" s="22" t="str">
        <x:v>MVP scope &amp; acceptance</x:v>
      </x:c>
      <x:c r="I7" s="22" t="str">
        <x:v>GEO_OS_需求方案定稿版_V1.0</x:v>
      </x:c>
      <x:c r="J7" s="22" t="str">
        <x:v>Technical Architecture V1.1 + Domain Contract</x:v>
      </x:c>
      <x:c r="K7" s="22" t="str">
        <x:v>Tenant Admin 可创建自有 Customer、Brand、Project；对象归属固定且可审计。</x:v>
      </x:c>
      <x:c r="L7" s="22" t="str">
        <x:v>Core Domain Lead</x:v>
      </x:c>
      <x:c r="M7" s="22" t="str">
        <x:v>TBD before G0-01 close</x:v>
      </x:c>
      <x:c r="N7" s="22" t="str">
        <x:v>G0-02</x:v>
      </x:c>
      <x:c r="O7" s="22" t="str">
        <x:v>Project Policy Binding 只提供默认值。</x:v>
      </x:c>
    </x:row>
    <x:row r="8" ht="56" customHeight="1">
      <x:c r="A8" s="22" t="str">
        <x:v>MOD-03</x:v>
      </x:c>
      <x:c r="B8" s="22" t="str">
        <x:v>MODULE</x:v>
      </x:c>
      <x:c r="C8" s="22" t="str">
        <x:v>Contracts</x:v>
      </x:c>
      <x:c r="D8" s="22" t="str">
        <x:v>Contract &amp; Policy Release</x:v>
      </x:c>
      <x:c r="E8" s="22" t="str">
        <x:v>IN</x:v>
      </x:c>
      <x:c r="F8" s="22" t="str">
        <x:v>MVP-0 FOUNDATION</x:v>
      </x:c>
      <x:c r="G8" s="22" t="str">
        <x:v>Gate 0 / Foundation</x:v>
      </x:c>
      <x:c r="H8" s="22" t="str">
        <x:v>Technical structure</x:v>
      </x:c>
      <x:c r="I8" s="22" t="str">
        <x:v>Technical Architecture Reconciliation V1.1</x:v>
      </x:c>
      <x:c r="J8" s="22" t="str">
        <x:v>ADR-008 + Policy Manifest Schema</x:v>
      </x:c>
      <x:c r="K8" s="22" t="str">
        <x:v>PolicyDefinition、不可变 PolicyRelease 与实际执行绑定可复现；V1 不建设低代码规则平台。</x:v>
      </x:c>
      <x:c r="L8" s="22" t="str">
        <x:v>Domain Architecture Lead</x:v>
      </x:c>
      <x:c r="M8" s="22" t="str">
        <x:v>TBD before G0-01 close</x:v>
      </x:c>
      <x:c r="N8" s="22" t="str">
        <x:v>G0-04/G0-06</x:v>
      </x:c>
      <x:c r="O8" s="22" t="str">
        <x:v>Execution、Assessment、Resolution、Snapshot 各自保存实际 policy_release_id。</x:v>
      </x:c>
    </x:row>
    <x:row r="9" ht="56" customHeight="1">
      <x:c r="A9" s="22" t="str">
        <x:v>MOD-04</x:v>
      </x:c>
      <x:c r="B9" s="22" t="str">
        <x:v>MODULE</x:v>
      </x:c>
      <x:c r="C9" s="22" t="str">
        <x:v>Demand</x:v>
      </x:c>
      <x:c r="D9" s="22" t="str">
        <x:v>Demand &amp; Question</x:v>
      </x:c>
      <x:c r="E9" s="22" t="str">
        <x:v>IN</x:v>
      </x:c>
      <x:c r="F9" s="22" t="str">
        <x:v>MVP-1 WALKING SKELETON</x:v>
      </x:c>
      <x:c r="G9" s="22" t="str">
        <x:v>Walking Skeleton</x:v>
      </x:c>
      <x:c r="H9" s="22" t="str">
        <x:v>MVP scope &amp; acceptance</x:v>
      </x:c>
      <x:c r="I9" s="22" t="str">
        <x:v>GEO_OS_需求方案定稿版_V1.0</x:v>
      </x:c>
      <x:c r="J9" s="22" t="str">
        <x:v>A1 + QuestionVersion Contract</x:v>
      </x:c>
      <x:c r="K9" s="22" t="str">
        <x:v>至少支持不可变 QuestionVersion、SampleSlot 关联和首行业最小问题分类。</x:v>
      </x:c>
      <x:c r="L9" s="22" t="str">
        <x:v>Demand Domain Lead</x:v>
      </x:c>
      <x:c r="M9" s="22" t="str">
        <x:v>TBD before G0-01 close</x:v>
      </x:c>
      <x:c r="N9" s="22" t="str">
        <x:v>G0-03</x:v>
      </x:c>
      <x:c r="O9" s="22" t="str">
        <x:v>完整需求智能在 MVP-2 扩展。</x:v>
      </x:c>
    </x:row>
    <x:row r="10" ht="56" customHeight="1">
      <x:c r="A10" s="22" t="str">
        <x:v>MOD-05</x:v>
      </x:c>
      <x:c r="B10" s="22" t="str">
        <x:v>MODULE</x:v>
      </x:c>
      <x:c r="C10" s="22" t="str">
        <x:v>Knowledge</x:v>
      </x:c>
      <x:c r="D10" s="22" t="str">
        <x:v>Brand Truth &amp; Evidence</x:v>
      </x:c>
      <x:c r="E10" s="22" t="str">
        <x:v>IN</x:v>
      </x:c>
      <x:c r="F10" s="22" t="str">
        <x:v>MVP-2 COMMERCIAL COMPLETE</x:v>
      </x:c>
      <x:c r="G10" s="22" t="str">
        <x:v>Semantic Expansion</x:v>
      </x:c>
      <x:c r="H10" s="22" t="str">
        <x:v>Commercial direction</x:v>
      </x:c>
      <x:c r="I10" s="22" t="str">
        <x:v>GEO_OS_产品方案定稿版_V1.0</x:v>
      </x:c>
      <x:c r="J10" s="22" t="str">
        <x:v>Domain Contract + Evidence API</x:v>
      </x:c>
      <x:c r="K10" s="22" t="str">
        <x:v>支持最小 Target/Brand Truth 证据版本供 Pack B 使用；完整知识治理后续补齐。</x:v>
      </x:c>
      <x:c r="L10" s="22" t="str">
        <x:v>Knowledge Domain Lead</x:v>
      </x:c>
      <x:c r="M10" s="22" t="str">
        <x:v>TBD before G0-01 close</x:v>
      </x:c>
      <x:c r="N10" s="22" t="str">
        <x:v>Pack B</x:v>
      </x:c>
      <x:c r="O10" s="22" t="str">
        <x:v>Walking Skeleton 不依赖完整 Brand Truth 平台。</x:v>
      </x:c>
    </x:row>
    <x:row r="11" ht="56" customHeight="1">
      <x:c r="A11" s="22" t="str">
        <x:v>MOD-06</x:v>
      </x:c>
      <x:c r="B11" s="22" t="str">
        <x:v>MODULE</x:v>
      </x:c>
      <x:c r="C11" s="22" t="str">
        <x:v>Monitoring</x:v>
      </x:c>
      <x:c r="D11" s="22" t="str">
        <x:v>Monitoring &amp; Sampling</x:v>
      </x:c>
      <x:c r="E11" s="22" t="str">
        <x:v>IN</x:v>
      </x:c>
      <x:c r="F11" s="22" t="str">
        <x:v>MVP-1 WALKING SKELETON</x:v>
      </x:c>
      <x:c r="G11" s="22" t="str">
        <x:v>Walking Skeleton</x:v>
      </x:c>
      <x:c r="H11" s="22" t="str">
        <x:v>MVP scope &amp; acceptance</x:v>
      </x:c>
      <x:c r="I11" s="22" t="str">
        <x:v>GEO_OS_需求方案定稿版_V1.0</x:v>
      </x:c>
      <x:c r="J11" s="22" t="str">
        <x:v>Sampling Contract + Scheduler</x:v>
      </x:c>
      <x:c r="K11" s="22" t="str">
        <x:v>QuestionVersion 产生可追踪 SampleSlot；重试不增加 Sample N；计划与执行分离。</x:v>
      </x:c>
      <x:c r="L11" s="22" t="str">
        <x:v>Monitoring Lead</x:v>
      </x:c>
      <x:c r="M11" s="22" t="str">
        <x:v>TBD before G0-01 close</x:v>
      </x:c>
      <x:c r="N11" s="22" t="str">
        <x:v>G0-05</x:v>
      </x:c>
      <x:c r="O11" s="22" t="str">
        <x:v>首阶段只支持最小调度能力。</x:v>
      </x:c>
    </x:row>
    <x:row r="12" ht="56" customHeight="1">
      <x:c r="A12" s="22" t="str">
        <x:v>MOD-07</x:v>
      </x:c>
      <x:c r="B12" s="22" t="str">
        <x:v>MODULE</x:v>
      </x:c>
      <x:c r="C12" s="22" t="str">
        <x:v>Execution</x:v>
      </x:c>
      <x:c r="D12" s="22" t="str">
        <x:v>Query Execution</x:v>
      </x:c>
      <x:c r="E12" s="22" t="str">
        <x:v>IN</x:v>
      </x:c>
      <x:c r="F12" s="22" t="str">
        <x:v>MVP-1 WALKING SKELETON</x:v>
      </x:c>
      <x:c r="G12" s="22" t="str">
        <x:v>Walking Skeleton</x:v>
      </x:c>
      <x:c r="H12" s="22" t="str">
        <x:v>Technical structure</x:v>
      </x:c>
      <x:c r="I12" s="22" t="str">
        <x:v>GEO_OS_技术方案定稿版_V1.0</x:v>
      </x:c>
      <x:c r="J12" s="22" t="str">
        <x:v>A1 + Execution API/Event</x:v>
      </x:c>
      <x:c r="K12" s="22" t="str">
        <x:v>ExecutionRun 保存实际上下文、状态、幂等键与证据引用；失败不自动形成观测。</x:v>
      </x:c>
      <x:c r="L12" s="22" t="str">
        <x:v>Query Platform Lead</x:v>
      </x:c>
      <x:c r="M12" s="22" t="str">
        <x:v>TBD before G0-01 close</x:v>
      </x:c>
      <x:c r="N12" s="22" t="str">
        <x:v>G0-03/G0-05</x:v>
      </x:c>
      <x:c r="O12" s="22" t="str">
        <x:v>Real AI Query Engine 只负责执行与捕获事实。</x:v>
      </x:c>
    </x:row>
    <x:row r="13" ht="56" customHeight="1">
      <x:c r="A13" s="22" t="str">
        <x:v>MOD-08</x:v>
      </x:c>
      <x:c r="B13" s="22" t="str">
        <x:v>MODULE</x:v>
      </x:c>
      <x:c r="C13" s="22" t="str">
        <x:v>Observation</x:v>
      </x:c>
      <x:c r="D13" s="22" t="str">
        <x:v>Observation Capture</x:v>
      </x:c>
      <x:c r="E13" s="22" t="str">
        <x:v>IN</x:v>
      </x:c>
      <x:c r="F13" s="22" t="str">
        <x:v>MVP-1 WALKING SKELETON</x:v>
      </x:c>
      <x:c r="G13" s="22" t="str">
        <x:v>Walking Skeleton</x:v>
      </x:c>
      <x:c r="H13" s="22" t="str">
        <x:v>Domain semantics</x:v>
      </x:c>
      <x:c r="I13" s="22" t="str">
        <x:v>Decision Pack A1/A2/A3</x:v>
      </x:c>
      <x:c r="J13" s="22" t="str">
        <x:v>Observation State Machine + DDL + Contract Tests</x:v>
      </x:c>
      <x:c r="K13" s="22" t="str">
        <x:v>实现 CAPTURING→FINALIZING→FINALIZED；原始事实不可原地修改，错误通过 CorrectionRecord 处理。</x:v>
      </x:c>
      <x:c r="L13" s="22" t="str">
        <x:v>Observation Domain Lead</x:v>
      </x:c>
      <x:c r="M13" s="22" t="str">
        <x:v>TBD before G0-01 close</x:v>
      </x:c>
      <x:c r="N13" s="22" t="str">
        <x:v>G0-03</x:v>
      </x:c>
      <x:c r="O13" s="22" t="str">
        <x:v>不得静默重分类或硬删除。</x:v>
      </x:c>
    </x:row>
    <x:row r="14" ht="56" customHeight="1">
      <x:c r="A14" s="22" t="str">
        <x:v>MOD-09</x:v>
      </x:c>
      <x:c r="B14" s="22" t="str">
        <x:v>MODULE</x:v>
      </x:c>
      <x:c r="C14" s="22" t="str">
        <x:v>Decisioning</x:v>
      </x:c>
      <x:c r="D14" s="22" t="str">
        <x:v>Assessment / Review / Resolution</x:v>
      </x:c>
      <x:c r="E14" s="22" t="str">
        <x:v>IN</x:v>
      </x:c>
      <x:c r="F14" s="22" t="str">
        <x:v>MVP-1 WALKING SKELETON</x:v>
      </x:c>
      <x:c r="G14" s="22" t="str">
        <x:v>Walking Skeleton</x:v>
      </x:c>
      <x:c r="H14" s="22" t="str">
        <x:v>Domain semantics</x:v>
      </x:c>
      <x:c r="I14" s="22" t="str">
        <x:v>Decision Pack A2/A3/B/C</x:v>
      </x:c>
      <x:c r="J14" s="22" t="str">
        <x:v>ADR-005 + Envelope Schema</x:v>
      </x:c>
      <x:c r="K14" s="22" t="str">
        <x:v>通用 Envelope 与领域 Payload 分离；append-only Assessment/Review；Resolution 可确定复现。</x:v>
      </x:c>
      <x:c r="L14" s="22" t="str">
        <x:v>Assessment Domain Lead</x:v>
      </x:c>
      <x:c r="M14" s="22" t="str">
        <x:v>TBD before G0-01 close</x:v>
      </x:c>
      <x:c r="N14" s="22" t="str">
        <x:v>G0-04</x:v>
      </x:c>
      <x:c r="O14" s="22" t="str">
        <x:v>禁止万能业务大表与 global latest wins。</x:v>
      </x:c>
    </x:row>
    <x:row r="15" ht="56" customHeight="1">
      <x:c r="A15" s="22" t="str">
        <x:v>MOD-10</x:v>
      </x:c>
      <x:c r="B15" s="22" t="str">
        <x:v>MODULE</x:v>
      </x:c>
      <x:c r="C15" s="22" t="str">
        <x:v>Measurement</x:v>
      </x:c>
      <x:c r="D15" s="22" t="str">
        <x:v>Measurement &amp; Snapshot</x:v>
      </x:c>
      <x:c r="E15" s="22" t="str">
        <x:v>IN</x:v>
      </x:c>
      <x:c r="F15" s="22" t="str">
        <x:v>MVP-1 WALKING SKELETON</x:v>
      </x:c>
      <x:c r="G15" s="22" t="str">
        <x:v>Walking Skeleton</x:v>
      </x:c>
      <x:c r="H15" s="22" t="str">
        <x:v>Domain semantics</x:v>
      </x:c>
      <x:c r="I15" s="22" t="str">
        <x:v>Decision Pack A2/A3</x:v>
      </x:c>
      <x:c r="J15" s="22" t="str">
        <x:v>ADR-007 + Snapshot ERD/DDL</x:v>
      </x:c>
      <x:c r="K15" s="22" t="str">
        <x:v>Snapshot 冻结 Observation/Metric 两层 Membership、实际 Resolution Provenance 与实际 Policy Release。</x:v>
      </x:c>
      <x:c r="L15" s="22" t="str">
        <x:v>Measurement Lead</x:v>
      </x:c>
      <x:c r="M15" s="22" t="str">
        <x:v>TBD before G0-01 close</x:v>
      </x:c>
      <x:c r="N15" s="22" t="str">
        <x:v>G0-06</x:v>
      </x:c>
      <x:c r="O15" s="22" t="str">
        <x:v>Walking Skeleton 使用非客户测试指标或冻结的 ANSWER_OUTCOME。</x:v>
      </x:c>
    </x:row>
    <x:row r="16" ht="56" customHeight="1">
      <x:c r="A16" s="22" t="str">
        <x:v>MOD-11</x:v>
      </x:c>
      <x:c r="B16" s="22" t="str">
        <x:v>MODULE</x:v>
      </x:c>
      <x:c r="C16" s="22" t="str">
        <x:v>Citation</x:v>
      </x:c>
      <x:c r="D16" s="22" t="str">
        <x:v>Citation &amp; Source</x:v>
      </x:c>
      <x:c r="E16" s="22" t="str">
        <x:v>IN</x:v>
      </x:c>
      <x:c r="F16" s="22" t="str">
        <x:v>MVP-2 COMMERCIAL COMPLETE</x:v>
      </x:c>
      <x:c r="G16" s="22" t="str">
        <x:v>Semantic Expansion</x:v>
      </x:c>
      <x:c r="H16" s="22" t="str">
        <x:v>Domain semantics</x:v>
      </x:c>
      <x:c r="I16" s="22" t="str">
        <x:v>Decision Pack C</x:v>
      </x:c>
      <x:c r="J16" s="22" t="str">
        <x:v>Citation/Source Domain Contract + API</x:v>
      </x:c>
      <x:c r="K16" s="22" t="str">
        <x:v>实现 Occurrence、Qualification、LogicalCitation、SourceBinding、Resolution 分层及 Citation Presence 最小链路。</x:v>
      </x:c>
      <x:c r="L16" s="22" t="str">
        <x:v>Citation &amp; Source Lead</x:v>
      </x:c>
      <x:c r="M16" s="22" t="str">
        <x:v>TBD before G0-01 close</x:v>
      </x:c>
      <x:c r="N16" s="22" t="str">
        <x:v>Pack C / G0-02</x:v>
      </x:c>
      <x:c r="O16" s="22" t="str">
        <x:v>不得退化为扁平 URL 数组。</x:v>
      </x:c>
    </x:row>
    <x:row r="17" ht="56" customHeight="1">
      <x:c r="A17" s="22" t="str">
        <x:v>MOD-12</x:v>
      </x:c>
      <x:c r="B17" s="22" t="str">
        <x:v>MODULE</x:v>
      </x:c>
      <x:c r="C17" s="22" t="str">
        <x:v>Intelligence</x:v>
      </x:c>
      <x:c r="D17" s="22" t="str">
        <x:v>GEO Intelligence</x:v>
      </x:c>
      <x:c r="E17" s="22" t="str">
        <x:v>DEFERRED</x:v>
      </x:c>
      <x:c r="F17" s="22" t="str">
        <x:v>MVP-2 COMMERCIAL COMPLETE</x:v>
      </x:c>
      <x:c r="G17" s="22" t="str">
        <x:v>Post Walking Skeleton</x:v>
      </x:c>
      <x:c r="H17" s="22" t="str">
        <x:v>Commercial direction</x:v>
      </x:c>
      <x:c r="I17" s="22" t="str">
        <x:v>GEO_OS_产品方案定稿版_V1.0</x:v>
      </x:c>
      <x:c r="J17" s="22" t="str">
        <x:v>Open Decision OD-G01-002</x:v>
      </x:c>
      <x:c r="K17" s="22" t="str">
        <x:v>先消费冻结 Snapshot；策略建议的正式客户验收边界在 G0-01 评审前确认。</x:v>
      </x:c>
      <x:c r="L17" s="22" t="str">
        <x:v>Product Intelligence Lead</x:v>
      </x:c>
      <x:c r="M17" s="22" t="str">
        <x:v>TBD before G0-01 close</x:v>
      </x:c>
      <x:c r="N17" s="22" t="str">
        <x:v>OD-G01-002</x:v>
      </x:c>
      <x:c r="O17" s="22" t="str">
        <x:v>不阻塞基础设施和 Walking Skeleton。</x:v>
      </x:c>
    </x:row>
    <x:row r="18" ht="56" customHeight="1">
      <x:c r="A18" s="22" t="str">
        <x:v>MOD-13</x:v>
      </x:c>
      <x:c r="B18" s="22" t="str">
        <x:v>MODULE</x:v>
      </x:c>
      <x:c r="C18" s="22" t="str">
        <x:v>Intervention</x:v>
      </x:c>
      <x:c r="D18" s="22" t="str">
        <x:v>Intervention &amp; Effect Validation</x:v>
      </x:c>
      <x:c r="E18" s="22" t="str">
        <x:v>DEFERRED</x:v>
      </x:c>
      <x:c r="F18" s="22" t="str">
        <x:v>MVP-2 COMMERCIAL COMPLETE</x:v>
      </x:c>
      <x:c r="G18" s="22" t="str">
        <x:v>Post Walking Skeleton</x:v>
      </x:c>
      <x:c r="H18" s="22" t="str">
        <x:v>Commercial direction</x:v>
      </x:c>
      <x:c r="I18" s="22" t="str">
        <x:v>GEO_OS_产品方案定稿版_V1.0</x:v>
      </x:c>
      <x:c r="J18" s="22" t="str">
        <x:v>Open Decision OD-G01-003</x:v>
      </x:c>
      <x:c r="K18" s="22" t="str">
        <x:v>明确干预目录、版本化执行、前后 Snapshot 对比和最小验收边界后进入实现。</x:v>
      </x:c>
      <x:c r="L18" s="22" t="str">
        <x:v>Intervention Lead</x:v>
      </x:c>
      <x:c r="M18" s="22" t="str">
        <x:v>TBD before G0-01 close</x:v>
      </x:c>
      <x:c r="N18" s="22" t="str">
        <x:v>OD-G01-003</x:v>
      </x:c>
      <x:c r="O18" s="22" t="str">
        <x:v>不提前冻结复杂策略规则。</x:v>
      </x:c>
    </x:row>
    <x:row r="19" ht="56" customHeight="1">
      <x:c r="A19" s="22" t="str">
        <x:v>MOD-14</x:v>
      </x:c>
      <x:c r="B19" s="22" t="str">
        <x:v>MODULE</x:v>
      </x:c>
      <x:c r="C19" s="22" t="str">
        <x:v>Delivery</x:v>
      </x:c>
      <x:c r="D19" s="22" t="str">
        <x:v>Report &amp; Delivery</x:v>
      </x:c>
      <x:c r="E19" s="22" t="str">
        <x:v>IN</x:v>
      </x:c>
      <x:c r="F19" s="22" t="str">
        <x:v>MVP-1 WALKING SKELETON</x:v>
      </x:c>
      <x:c r="G19" s="22" t="str">
        <x:v>Walking Skeleton</x:v>
      </x:c>
      <x:c r="H19" s="22" t="str">
        <x:v>MVP scope &amp; acceptance</x:v>
      </x:c>
      <x:c r="I19" s="22" t="str">
        <x:v>GEO_OS_需求方案定稿版_V1.0</x:v>
      </x:c>
      <x:c r="J19" s="22" t="str">
        <x:v>Snapshot Consumer Contract</x:v>
      </x:c>
      <x:c r="K19" s="22" t="str">
        <x:v>Basic Report 只读取指定 Snapshot 并可重复交付；正式客户 KPI 在语义准入后开放。</x:v>
      </x:c>
      <x:c r="L19" s="22" t="str">
        <x:v>Delivery Lead</x:v>
      </x:c>
      <x:c r="M19" s="22" t="str">
        <x:v>TBD before G0-01 close</x:v>
      </x:c>
      <x:c r="N19" s="22" t="str">
        <x:v>G0-06 / OD-G01-006</x:v>
      </x:c>
      <x:c r="O19" s="22" t="str">
        <x:v>不得在前端重算正式指标。</x:v>
      </x:c>
    </x:row>
    <x:row r="20" ht="56" customHeight="1">
      <x:c r="A20" s="22" t="str">
        <x:v>MOD-15</x:v>
      </x:c>
      <x:c r="B20" s="22" t="str">
        <x:v>MODULE</x:v>
      </x:c>
      <x:c r="C20" s="22" t="str">
        <x:v>Operations</x:v>
      </x:c>
      <x:c r="D20" s="22" t="str">
        <x:v>Resource / Cost / Audit</x:v>
      </x:c>
      <x:c r="E20" s="22" t="str">
        <x:v>IN</x:v>
      </x:c>
      <x:c r="F20" s="22" t="str">
        <x:v>MVP-0 FOUNDATION</x:v>
      </x:c>
      <x:c r="G20" s="22" t="str">
        <x:v>Foundation</x:v>
      </x:c>
      <x:c r="H20" s="22" t="str">
        <x:v>Technical structure</x:v>
      </x:c>
      <x:c r="I20" s="22" t="str">
        <x:v>GEO_OS_技术方案定稿版_V1.0</x:v>
      </x:c>
      <x:c r="J20" s="22" t="str">
        <x:v>Audit/Event/Cost Schema</x:v>
      </x:c>
      <x:c r="K20" s="22" t="str">
        <x:v>关键操作、模型调用、执行成本和管理员跨租户访问均可追踪；经营分析延后。</x:v>
      </x:c>
      <x:c r="L20" s="22" t="str">
        <x:v>Platform Operations Lead</x:v>
      </x:c>
      <x:c r="M20" s="22" t="str">
        <x:v>TBD before G0-01 close</x:v>
      </x:c>
      <x:c r="N20" s="22" t="str">
        <x:v>G0-02/G0-05</x:v>
      </x:c>
      <x:c r="O20" s="22" t="str">
        <x:v>Redis 不保存唯一业务事实。</x:v>
      </x:c>
    </x:row>
    <x:row r="21" ht="56" customHeight="1">
      <x:c r="A21" s="22" t="str">
        <x:v>X-01</x:v>
      </x:c>
      <x:c r="B21" s="22" t="str">
        <x:v>CROSS-CUTTING</x:v>
      </x:c>
      <x:c r="C21" s="22" t="str">
        <x:v>Security</x:v>
      </x:c>
      <x:c r="D21" s="22" t="str">
        <x:v>Tenant Isolation</x:v>
      </x:c>
      <x:c r="E21" s="22" t="str">
        <x:v>IN</x:v>
      </x:c>
      <x:c r="F21" s="22" t="str">
        <x:v>MVP-0 FOUNDATION</x:v>
      </x:c>
      <x:c r="G21" s="22" t="str">
        <x:v>Gate 0 / Foundation</x:v>
      </x:c>
      <x:c r="H21" s="22" t="str">
        <x:v>Technical structure</x:v>
      </x:c>
      <x:c r="I21" s="22" t="str">
        <x:v>Technical Architecture Reconciliation V1.1</x:v>
      </x:c>
      <x:c r="J21" s="22" t="str">
        <x:v>G0-02 ADR + Isolation Contract Tests</x:v>
      </x:c>
      <x:c r="K21" s="22" t="str">
        <x:v>API、查询、唯一约束、缓存键、对象路径和队列载荷均声明 tenant scope。</x:v>
      </x:c>
      <x:c r="L21" s="22" t="str">
        <x:v>Platform &amp; Security Lead</x:v>
      </x:c>
      <x:c r="M21" s="22" t="str">
        <x:v>TBD before G0-01 close</x:v>
      </x:c>
      <x:c r="N21" s="22" t="str">
        <x:v>G0-02</x:v>
      </x:c>
      <x:c r="O21" s="22" t="str">
        <x:v>第三方仅管理自有客户。</x:v>
      </x:c>
    </x:row>
    <x:row r="22" ht="56" customHeight="1">
      <x:c r="A22" s="22" t="str">
        <x:v>X-02</x:v>
      </x:c>
      <x:c r="B22" s="22" t="str">
        <x:v>CROSS-CUTTING</x:v>
      </x:c>
      <x:c r="C22" s="22" t="str">
        <x:v>Identity</x:v>
      </x:c>
      <x:c r="D22" s="22" t="str">
        <x:v>GLOBAL_IDENTITY_WITH_TENANT_CONTEXT</x:v>
      </x:c>
      <x:c r="E22" s="22" t="str">
        <x:v>IN</x:v>
      </x:c>
      <x:c r="F22" s="22" t="str">
        <x:v>MVP-0 FOUNDATION</x:v>
      </x:c>
      <x:c r="G22" s="22" t="str">
        <x:v>Gate 0 / Foundation</x:v>
      </x:c>
      <x:c r="H22" s="22" t="str">
        <x:v>Technical structure</x:v>
      </x:c>
      <x:c r="I22" s="22" t="str">
        <x:v>Technical Architecture Reconciliation V1.1</x:v>
      </x:c>
      <x:c r="J22" s="22" t="str">
        <x:v>Ownership Matrix + Hidden Directory Authorization</x:v>
      </x:c>
      <x:c r="K22" s="22" t="str">
        <x:v>全局目录不直接向租户暴露；Evidence/Binding/Relationship/Projection 通过租户上下文授权。</x:v>
      </x:c>
      <x:c r="L22" s="22" t="str">
        <x:v>Data Architecture Lead</x:v>
      </x:c>
      <x:c r="M22" s="22" t="str">
        <x:v>TBD before G0-01 close</x:v>
      </x:c>
      <x:c r="N22" s="22" t="str">
        <x:v>G0-02</x:v>
      </x:c>
      <x:c r="O22" s="22" t="str">
        <x:v>跨租户可去重但不得信息侧漏。</x:v>
      </x:c>
    </x:row>
    <x:row r="23" ht="56" customHeight="1">
      <x:c r="A23" s="22" t="str">
        <x:v>X-03</x:v>
      </x:c>
      <x:c r="B23" s="22" t="str">
        <x:v>CROSS-CUTTING</x:v>
      </x:c>
      <x:c r="C23" s="22" t="str">
        <x:v>Security</x:v>
      </x:c>
      <x:c r="D23" s="22" t="str">
        <x:v>Authentication &amp; RBAC</x:v>
      </x:c>
      <x:c r="E23" s="22" t="str">
        <x:v>IN</x:v>
      </x:c>
      <x:c r="F23" s="22" t="str">
        <x:v>MVP-0 FOUNDATION</x:v>
      </x:c>
      <x:c r="G23" s="22" t="str">
        <x:v>Foundation</x:v>
      </x:c>
      <x:c r="H23" s="22" t="str">
        <x:v>MVP scope &amp; acceptance</x:v>
      </x:c>
      <x:c r="I23" s="22" t="str">
        <x:v>GEO_OS_需求方案定稿版_V1.0</x:v>
      </x:c>
      <x:c r="J23" s="22" t="str">
        <x:v>IAM Contract + Authorization Tests</x:v>
      </x:c>
      <x:c r="K23" s="22" t="str">
        <x:v>平台管理员、Tenant Admin、成员和客户只读角色具备明确权限边界。</x:v>
      </x:c>
      <x:c r="L23" s="22" t="str">
        <x:v>Platform &amp; Security Lead</x:v>
      </x:c>
      <x:c r="M23" s="22" t="str">
        <x:v>TBD before G0-01 close</x:v>
      </x:c>
      <x:c r="N23" s="22" t="str">
        <x:v>G0-02</x:v>
      </x:c>
      <x:c r="O23" s="22" t="str">
        <x:v>不以 UUID 难猜代替授权。</x:v>
      </x:c>
    </x:row>
    <x:row r="24" ht="56" customHeight="1">
      <x:c r="A24" s="22" t="str">
        <x:v>X-04</x:v>
      </x:c>
      <x:c r="B24" s="22" t="str">
        <x:v>CROSS-CUTTING</x:v>
      </x:c>
      <x:c r="C24" s="22" t="str">
        <x:v>Governance</x:v>
      </x:c>
      <x:c r="D24" s="22" t="str">
        <x:v>Auditability</x:v>
      </x:c>
      <x:c r="E24" s="22" t="str">
        <x:v>IN</x:v>
      </x:c>
      <x:c r="F24" s="22" t="str">
        <x:v>MVP-0 FOUNDATION</x:v>
      </x:c>
      <x:c r="G24" s="22" t="str">
        <x:v>Foundation</x:v>
      </x:c>
      <x:c r="H24" s="22" t="str">
        <x:v>Technical structure</x:v>
      </x:c>
      <x:c r="I24" s="22" t="str">
        <x:v>GEO_OS_技术方案定稿版_V1.0</x:v>
      </x:c>
      <x:c r="J24" s="22" t="str">
        <x:v>Audit Event Schema</x:v>
      </x:c>
      <x:c r="K24" s="22" t="str">
        <x:v>敏感访问与状态变更记录 actor、reason、target、tenant、trace 与时间。</x:v>
      </x:c>
      <x:c r="L24" s="22" t="str">
        <x:v>Platform Operations Lead</x:v>
      </x:c>
      <x:c r="M24" s="22" t="str">
        <x:v>TBD before G0-01 close</x:v>
      </x:c>
      <x:c r="N24" s="22" t="str">
        <x:v>G0-02/G0-05</x:v>
      </x:c>
      <x:c r="O24" s="22" t="str">
        <x:v>审计记录不可依赖应用日志替代。</x:v>
      </x:c>
    </x:row>
    <x:row r="25" ht="56" customHeight="1">
      <x:c r="A25" s="22" t="str">
        <x:v>X-05</x:v>
      </x:c>
      <x:c r="B25" s="22" t="str">
        <x:v>CROSS-CUTTING</x:v>
      </x:c>
      <x:c r="C25" s="22" t="str">
        <x:v>Observation</x:v>
      </x:c>
      <x:c r="D25" s="22" t="str">
        <x:v>Immutable Fact Lifecycle</x:v>
      </x:c>
      <x:c r="E25" s="22" t="str">
        <x:v>IN</x:v>
      </x:c>
      <x:c r="F25" s="22" t="str">
        <x:v>MVP-0 FOUNDATION</x:v>
      </x:c>
      <x:c r="G25" s="22" t="str">
        <x:v>Gate 0 / Foundation</x:v>
      </x:c>
      <x:c r="H25" s="22" t="str">
        <x:v>Domain semantics</x:v>
      </x:c>
      <x:c r="I25" s="22" t="str">
        <x:v>Decision Pack A1/A3</x:v>
      </x:c>
      <x:c r="J25" s="22" t="str">
        <x:v>G0-03 State Machine + DDL</x:v>
      </x:c>
      <x:c r="K25" s="22" t="str">
        <x:v>Finalization 原子且幂等；FINALIZED 事实拒绝原地 UPDATE。</x:v>
      </x:c>
      <x:c r="L25" s="22" t="str">
        <x:v>Observation Domain Lead</x:v>
      </x:c>
      <x:c r="M25" s="22" t="str">
        <x:v>TBD before G0-01 close</x:v>
      </x:c>
      <x:c r="N25" s="22" t="str">
        <x:v>G0-03</x:v>
      </x:c>
      <x:c r="O25" s="22" t="str">
        <x:v>Correction 与 Projection 不修改事实层。</x:v>
      </x:c>
    </x:row>
    <x:row r="26" ht="56" customHeight="1">
      <x:c r="A26" s="22" t="str">
        <x:v>X-06</x:v>
      </x:c>
      <x:c r="B26" s="22" t="str">
        <x:v>CROSS-CUTTING</x:v>
      </x:c>
      <x:c r="C26" s="22" t="str">
        <x:v>Decisioning</x:v>
      </x:c>
      <x:c r="D26" s="22" t="str">
        <x:v>Resolution Protocol</x:v>
      </x:c>
      <x:c r="E26" s="22" t="str">
        <x:v>IN</x:v>
      </x:c>
      <x:c r="F26" s="22" t="str">
        <x:v>MVP-0 FOUNDATION</x:v>
      </x:c>
      <x:c r="G26" s="22" t="str">
        <x:v>Gate 0 / Foundation</x:v>
      </x:c>
      <x:c r="H26" s="22" t="str">
        <x:v>Domain semantics</x:v>
      </x:c>
      <x:c r="I26" s="22" t="str">
        <x:v>Decision Pack A2/A3/B/C</x:v>
      </x:c>
      <x:c r="J26" s="22" t="str">
        <x:v>G0-04 Envelope + Resolution Tests</x:v>
      </x:c>
      <x:c r="K26" s="22" t="str">
        <x:v>粒度、上下文、证据优先级和冲突状态均可复现。</x:v>
      </x:c>
      <x:c r="L26" s="22" t="str">
        <x:v>Assessment Domain Lead</x:v>
      </x:c>
      <x:c r="M26" s="22" t="str">
        <x:v>TBD before G0-01 close</x:v>
      </x:c>
      <x:c r="N26" s="22" t="str">
        <x:v>G0-04</x:v>
      </x:c>
      <x:c r="O26" s="22" t="str">
        <x:v>领域 Payload 保持专用。</x:v>
      </x:c>
    </x:row>
    <x:row r="27" ht="56" customHeight="1">
      <x:c r="A27" s="22" t="str">
        <x:v>X-07</x:v>
      </x:c>
      <x:c r="B27" s="22" t="str">
        <x:v>CROSS-CUTTING</x:v>
      </x:c>
      <x:c r="C27" s="22" t="str">
        <x:v>Reliability</x:v>
      </x:c>
      <x:c r="D27" s="22" t="str">
        <x:v>Outbox / Inbox / Idempotency</x:v>
      </x:c>
      <x:c r="E27" s="22" t="str">
        <x:v>IN</x:v>
      </x:c>
      <x:c r="F27" s="22" t="str">
        <x:v>MVP-0 FOUNDATION</x:v>
      </x:c>
      <x:c r="G27" s="22" t="str">
        <x:v>Gate 0 / Foundation</x:v>
      </x:c>
      <x:c r="H27" s="22" t="str">
        <x:v>Technical structure</x:v>
      </x:c>
      <x:c r="I27" s="22" t="str">
        <x:v>Technical Architecture Reconciliation V1.1</x:v>
      </x:c>
      <x:c r="J27" s="22" t="str">
        <x:v>G0-05 Event Contract + Failure Matrix</x:v>
      </x:c>
      <x:c r="K27" s="22" t="str">
        <x:v>业务状态与 Outbox 同事务；重复投递/消费不产生重复事实；重试和租约可恢复。</x:v>
      </x:c>
      <x:c r="L27" s="22" t="str">
        <x:v>Platform Reliability Lead</x:v>
      </x:c>
      <x:c r="M27" s="22" t="str">
        <x:v>TBD before G0-01 close</x:v>
      </x:c>
      <x:c r="N27" s="22" t="str">
        <x:v>G0-05</x:v>
      </x:c>
      <x:c r="O27" s="22" t="str">
        <x:v>BullMQ/Redis 不是事实来源。</x:v>
      </x:c>
    </x:row>
    <x:row r="28" ht="56" customHeight="1">
      <x:c r="A28" s="22" t="str">
        <x:v>X-08</x:v>
      </x:c>
      <x:c r="B28" s="22" t="str">
        <x:v>CROSS-CUTTING</x:v>
      </x:c>
      <x:c r="C28" s="22" t="str">
        <x:v>Measurement</x:v>
      </x:c>
      <x:c r="D28" s="22" t="str">
        <x:v>Snapshot Contract</x:v>
      </x:c>
      <x:c r="E28" s="22" t="str">
        <x:v>IN</x:v>
      </x:c>
      <x:c r="F28" s="22" t="str">
        <x:v>MVP-0 FOUNDATION</x:v>
      </x:c>
      <x:c r="G28" s="22" t="str">
        <x:v>Gate 0 / Foundation</x:v>
      </x:c>
      <x:c r="H28" s="22" t="str">
        <x:v>Domain semantics</x:v>
      </x:c>
      <x:c r="I28" s="22" t="str">
        <x:v>Decision Pack A3</x:v>
      </x:c>
      <x:c r="J28" s="22" t="str">
        <x:v>G0-06 Membership + Replacement Contract</x:v>
      </x:c>
      <x:c r="K28" s="22" t="str">
        <x:v>Snapshot 生命周期与完整性正交；错误通过显式 Replacement 链处理。</x:v>
      </x:c>
      <x:c r="L28" s="22" t="str">
        <x:v>Measurement Lead</x:v>
      </x:c>
      <x:c r="M28" s="22" t="str">
        <x:v>TBD before G0-01 close</x:v>
      </x:c>
      <x:c r="N28" s="22" t="str">
        <x:v>G0-06</x:v>
      </x:c>
      <x:c r="O28" s="22" t="str">
        <x:v>Report 永久绑定交付时 Snapshot ID。</x:v>
      </x:c>
    </x:row>
    <x:row r="29" ht="56" customHeight="1">
      <x:c r="A29" s="22" t="str">
        <x:v>X-09</x:v>
      </x:c>
      <x:c r="B29" s="22" t="str">
        <x:v>CROSS-CUTTING</x:v>
      </x:c>
      <x:c r="C29" s="22" t="str">
        <x:v>Contracts</x:v>
      </x:c>
      <x:c r="D29" s="22" t="str">
        <x:v>Actual Policy Release Binding</x:v>
      </x:c>
      <x:c r="E29" s="22" t="str">
        <x:v>IN</x:v>
      </x:c>
      <x:c r="F29" s="22" t="str">
        <x:v>MVP-0 FOUNDATION</x:v>
      </x:c>
      <x:c r="G29" s="22" t="str">
        <x:v>Gate 0 / Foundation</x:v>
      </x:c>
      <x:c r="H29" s="22" t="str">
        <x:v>Technical structure</x:v>
      </x:c>
      <x:c r="I29" s="22" t="str">
        <x:v>Technical Architecture Reconciliation V1.1</x:v>
      </x:c>
      <x:c r="J29" s="22" t="str">
        <x:v>ADR-008 + Binding Contract Tests</x:v>
      </x:c>
      <x:c r="K29" s="22" t="str">
        <x:v>项目默认配置变化不得改写历史 Execution/Assessment/Resolution/Snapshot。</x:v>
      </x:c>
      <x:c r="L29" s="22" t="str">
        <x:v>Domain Architecture Lead</x:v>
      </x:c>
      <x:c r="M29" s="22" t="str">
        <x:v>TBD before G0-01 close</x:v>
      </x:c>
      <x:c r="N29" s="22" t="str">
        <x:v>G0-04/G0-06</x:v>
      </x:c>
      <x:c r="O29" s="22" t="str">
        <x:v>实际使用版本必须落库。</x:v>
      </x:c>
    </x:row>
    <x:row r="30" ht="56" customHeight="1">
      <x:c r="A30" s="22" t="str">
        <x:v>X-10</x:v>
      </x:c>
      <x:c r="B30" s="22" t="str">
        <x:v>CROSS-CUTTING</x:v>
      </x:c>
      <x:c r="C30" s="22" t="str">
        <x:v>Infrastructure</x:v>
      </x:c>
      <x:c r="D30" s="22" t="str">
        <x:v>Object Storage</x:v>
      </x:c>
      <x:c r="E30" s="22" t="str">
        <x:v>IN</x:v>
      </x:c>
      <x:c r="F30" s="22" t="str">
        <x:v>MVP-0 FOUNDATION</x:v>
      </x:c>
      <x:c r="G30" s="22" t="str">
        <x:v>Foundation</x:v>
      </x:c>
      <x:c r="H30" s="22" t="str">
        <x:v>Technical structure</x:v>
      </x:c>
      <x:c r="I30" s="22" t="str">
        <x:v>GEO_OS_技术方案定稿版_V1.0</x:v>
      </x:c>
      <x:c r="J30" s="22" t="str">
        <x:v>Storage Contract + Integrity Checks</x:v>
      </x:c>
      <x:c r="K30" s="22" t="str">
        <x:v>大对象证据按 tenant/context 路径与 hash 管理；数据库保存不可丢失引用。</x:v>
      </x:c>
      <x:c r="L30" s="22" t="str">
        <x:v>Platform Infrastructure Lead</x:v>
      </x:c>
      <x:c r="M30" s="22" t="str">
        <x:v>TBD before G0-01 close</x:v>
      </x:c>
      <x:c r="N30" s="22" t="str">
        <x:v>G0-02/G0-03</x:v>
      </x:c>
      <x:c r="O30" s="22" t="str">
        <x:v>对象上传与 Finalization 失败可恢复。</x:v>
      </x:c>
    </x:row>
    <x:row r="31" ht="56" customHeight="1">
      <x:c r="A31" s="22" t="str">
        <x:v>X-11</x:v>
      </x:c>
      <x:c r="B31" s="22" t="str">
        <x:v>CROSS-CUTTING</x:v>
      </x:c>
      <x:c r="C31" s="22" t="str">
        <x:v>Operations</x:v>
      </x:c>
      <x:c r="D31" s="22" t="str">
        <x:v>Observability &amp; Trace Context</x:v>
      </x:c>
      <x:c r="E31" s="22" t="str">
        <x:v>IN</x:v>
      </x:c>
      <x:c r="F31" s="22" t="str">
        <x:v>MVP-0 FOUNDATION</x:v>
      </x:c>
      <x:c r="G31" s="22" t="str">
        <x:v>Foundation</x:v>
      </x:c>
      <x:c r="H31" s="22" t="str">
        <x:v>Technical structure</x:v>
      </x:c>
      <x:c r="I31" s="22" t="str">
        <x:v>GEO_OS_技术方案定稿版_V1.0</x:v>
      </x:c>
      <x:c r="J31" s="22" t="str">
        <x:v>Trace/Log/Event Correlation Contract</x:v>
      </x:c>
      <x:c r="K31" s="22" t="str">
        <x:v>请求、任务、事件和模型调用共享 correlation_id/trace_id 并支持租户级排障。</x:v>
      </x:c>
      <x:c r="L31" s="22" t="str">
        <x:v>Platform Reliability Lead</x:v>
      </x:c>
      <x:c r="M31" s="22" t="str">
        <x:v>TBD before G0-01 close</x:v>
      </x:c>
      <x:c r="N31" s="22" t="str">
        <x:v>G0-05</x:v>
      </x:c>
      <x:c r="O31" s="22" t="str">
        <x:v>日志不得泄漏跨租户数据。</x:v>
      </x:c>
    </x:row>
    <x:row r="32" ht="56" customHeight="1">
      <x:c r="A32" s="22" t="str">
        <x:v>X-12</x:v>
      </x:c>
      <x:c r="B32" s="22" t="str">
        <x:v>CROSS-CUTTING</x:v>
      </x:c>
      <x:c r="C32" s="22" t="str">
        <x:v>Engineering</x:v>
      </x:c>
      <x:c r="D32" s="22" t="str">
        <x:v>Monorepo / CI / Contract Tests</x:v>
      </x:c>
      <x:c r="E32" s="22" t="str">
        <x:v>IN</x:v>
      </x:c>
      <x:c r="F32" s="22" t="str">
        <x:v>MVP-0 FOUNDATION</x:v>
      </x:c>
      <x:c r="G32" s="22" t="str">
        <x:v>Foundation</x:v>
      </x:c>
      <x:c r="H32" s="22" t="str">
        <x:v>Technical structure</x:v>
      </x:c>
      <x:c r="I32" s="22" t="str">
        <x:v>Technical Architecture Reconciliation V1.1</x:v>
      </x:c>
      <x:c r="J32" s="22" t="str">
        <x:v>Repository Skeleton + CI</x:v>
      </x:c>
      <x:c r="K32" s="22" t="str">
        <x:v>TypeScript/Python 工程规范、Lint、单元/集成/契约测试和迁移检查可自动执行。</x:v>
      </x:c>
      <x:c r="L32" s="22" t="str">
        <x:v>Engineering Enablement Lead</x:v>
      </x:c>
      <x:c r="M32" s="22" t="str">
        <x:v>TBD before G0-01 close</x:v>
      </x:c>
      <x:c r="N32" s="22" t="str">
        <x:v>G0-01</x:v>
      </x:c>
      <x:c r="O32" s="22" t="str">
        <x:v>非争议部分允许并行启动。</x:v>
      </x:c>
    </x:row>
    <x:row r="33" ht="56" customHeight="1">
      <x:c r="A33" s="22" t="str">
        <x:v>X-13</x:v>
      </x:c>
      <x:c r="B33" s="22" t="str">
        <x:v>CROSS-CUTTING</x:v>
      </x:c>
      <x:c r="C33" s="22" t="str">
        <x:v>Data</x:v>
      </x:c>
      <x:c r="D33" s="22" t="str">
        <x:v>Database Migrations &amp; Constraints</x:v>
      </x:c>
      <x:c r="E33" s="22" t="str">
        <x:v>IN</x:v>
      </x:c>
      <x:c r="F33" s="22" t="str">
        <x:v>MVP-0 FOUNDATION</x:v>
      </x:c>
      <x:c r="G33" s="22" t="str">
        <x:v>Foundation</x:v>
      </x:c>
      <x:c r="H33" s="22" t="str">
        <x:v>Engineering implementation</x:v>
      </x:c>
      <x:c r="I33" s="22" t="str">
        <x:v>ADR / Domain Contract</x:v>
      </x:c>
      <x:c r="J33" s="22" t="str">
        <x:v>Migration + Schema Tests</x:v>
      </x:c>
      <x:c r="K33" s="22" t="str">
        <x:v>所有 Schema 变更通过迁移；跨租户、幂等、版本与不可变约束有数据库级防线。</x:v>
      </x:c>
      <x:c r="L33" s="22" t="str">
        <x:v>Data Architecture Lead</x:v>
      </x:c>
      <x:c r="M33" s="22" t="str">
        <x:v>TBD before G0-01 close</x:v>
      </x:c>
      <x:c r="N33" s="22" t="str">
        <x:v>G0-02~G0-06</x:v>
      </x:c>
      <x:c r="O33" s="22" t="str">
        <x:v>Gate 未关闭前不冻结最终核心表。</x:v>
      </x:c>
    </x:row>
    <x:row r="34" ht="56" customHeight="1">
      <x:c r="A34" s="22" t="str">
        <x:v>X-14</x:v>
      </x:c>
      <x:c r="B34" s="22" t="str">
        <x:v>CROSS-CUTTING</x:v>
      </x:c>
      <x:c r="C34" s="22" t="str">
        <x:v>Governance</x:v>
      </x:c>
      <x:c r="D34" s="22" t="str">
        <x:v>Contract Traceability</x:v>
      </x:c>
      <x:c r="E34" s="22" t="str">
        <x:v>IN</x:v>
      </x:c>
      <x:c r="F34" s="22" t="str">
        <x:v>MVP-0 FOUNDATION</x:v>
      </x:c>
      <x:c r="G34" s="22" t="str">
        <x:v>Gate 0 / Continuous</x:v>
      </x:c>
      <x:c r="H34" s="22" t="str">
        <x:v>Engineering implementation</x:v>
      </x:c>
      <x:c r="I34" s="22" t="str">
        <x:v>Technical Architecture Reconciliation V1.1</x:v>
      </x:c>
      <x:c r="J34" s="22" t="str">
        <x:v>Traceability Matrix + Contract Test IDs</x:v>
      </x:c>
      <x:c r="K34" s="22" t="str">
        <x:v>正式交付规则可定位到对象、Schema/API/Event、代码和测试；随模块持续补齐。</x:v>
      </x:c>
      <x:c r="L34" s="22" t="str">
        <x:v>Architecture Governance Lead</x:v>
      </x:c>
      <x:c r="M34" s="22" t="str">
        <x:v>TBD before G0-01 close</x:v>
      </x:c>
      <x:c r="N34" s="22" t="str">
        <x:v>G0-01</x:v>
      </x:c>
      <x:c r="O34" s="22" t="str">
        <x:v>无需开工前一次填满全部规则。</x:v>
      </x:c>
    </x:row>
    <x:row r="35" ht="56" customHeight="1">
      <x:c r="A35" s="22" t="str">
        <x:v>X-15</x:v>
      </x:c>
      <x:c r="B35" s="22" t="str">
        <x:v>CROSS-CUTTING</x:v>
      </x:c>
      <x:c r="C35" s="22" t="str">
        <x:v>Industry</x:v>
      </x:c>
      <x:c r="D35" s="22" t="str">
        <x:v>Industry Extension Interface</x:v>
      </x:c>
      <x:c r="E35" s="22" t="str">
        <x:v>IN</x:v>
      </x:c>
      <x:c r="F35" s="22" t="str">
        <x:v>MVP-1 WALKING SKELETON</x:v>
      </x:c>
      <x:c r="G35" s="22" t="str">
        <x:v>Architecture Extension</x:v>
      </x:c>
      <x:c r="H35" s="22" t="str">
        <x:v>Technical structure</x:v>
      </x:c>
      <x:c r="I35" s="22" t="str">
        <x:v>Technical Architecture Reconciliation V1.1</x:v>
      </x:c>
      <x:c r="J35" s="22" t="str">
        <x:v>Version Reference + No-hardcode Tests</x:v>
      </x:c>
      <x:c r="K35" s="22" t="str">
        <x:v>通用模型禁止行业字段硬编码；Project 可引用首行业规则版本。</x:v>
      </x:c>
      <x:c r="L35" s="22" t="str">
        <x:v>Domain Architecture Lead</x:v>
      </x:c>
      <x:c r="M35" s="22" t="str">
        <x:v>TBD before G0-01 close</x:v>
      </x:c>
      <x:c r="N35" s="22" t="str">
        <x:v>P0</x:v>
      </x:c>
      <x:c r="O35" s="22" t="str">
        <x:v>完整 IndustryPolicyPack 在第二行业前冻结。</x:v>
      </x:c>
    </x:row>
    <x:row r="36" ht="56" customHeight="1">
      <x:c r="A36" s="22" t="str">
        <x:v>X-16</x:v>
      </x:c>
      <x:c r="B36" s="22" t="str">
        <x:v>CROSS-CUTTING</x:v>
      </x:c>
      <x:c r="C36" s="22" t="str">
        <x:v>Commercial</x:v>
      </x:c>
      <x:c r="D36" s="22" t="str">
        <x:v>Third-party Tenant Workspace</x:v>
      </x:c>
      <x:c r="E36" s="22" t="str">
        <x:v>IN</x:v>
      </x:c>
      <x:c r="F36" s="22" t="str">
        <x:v>MVP-2 COMMERCIAL COMPLETE</x:v>
      </x:c>
      <x:c r="G36" s="22" t="str">
        <x:v>Commercial Enablement</x:v>
      </x:c>
      <x:c r="H36" s="22" t="str">
        <x:v>Commercial direction</x:v>
      </x:c>
      <x:c r="I36" s="22" t="str">
        <x:v>冻结注释 FZ-01</x:v>
      </x:c>
      <x:c r="J36" s="22" t="str">
        <x:v>Tenant Workspace Acceptance Tests</x:v>
      </x:c>
      <x:c r="K36" s="22" t="str">
        <x:v>平台受控开通第三方 Tenant；第三方管理本机构成员和自有客户。</x:v>
      </x:c>
      <x:c r="L36" s="22" t="str">
        <x:v>Product Owner</x:v>
      </x:c>
      <x:c r="M36" s="22" t="str">
        <x:v>TBD before G0-01 close</x:v>
      </x:c>
      <x:c r="N36" s="22" t="str">
        <x:v>G0-02</x:v>
      </x:c>
      <x:c r="O36" s="22" t="str">
        <x:v>不包含代理父子层级、白标、计费、自助注册和开放 API。</x:v>
      </x:c>
    </x:row>
    <x:row r="37" ht="56" customHeight="1">
      <x:c r="A37" s="22" t="str">
        <x:v>X-17</x:v>
      </x:c>
      <x:c r="B37" s="22" t="str">
        <x:v>CROSS-CUTTING</x:v>
      </x:c>
      <x:c r="C37" s="22" t="str">
        <x:v>Commercial</x:v>
      </x:c>
      <x:c r="D37" s="22" t="str">
        <x:v>Self-service / Agency Hierarchy / White-label / Billing / Open API</x:v>
      </x:c>
      <x:c r="E37" s="22" t="str">
        <x:v>OUT</x:v>
      </x:c>
      <x:c r="F37" s="22" t="str">
        <x:v>POST-MVP</x:v>
      </x:c>
      <x:c r="G37" s="22" t="str">
        <x:v>Not in V1</x:v>
      </x:c>
      <x:c r="H37" s="22" t="str">
        <x:v>Commercial direction</x:v>
      </x:c>
      <x:c r="I37" s="22" t="str">
        <x:v>GEO_OS_产品方案定稿版_V1.0</x:v>
      </x:c>
      <x:c r="J37" s="22" t="str">
        <x:v>Future Scope Change Request</x:v>
      </x:c>
      <x:c r="K37" s="22" t="str">
        <x:v>V1 不实现；任何提前引入必须作为 MVP 范围变更审批。</x:v>
      </x:c>
      <x:c r="L37" s="22" t="str">
        <x:v>Product Owner</x:v>
      </x:c>
      <x:c r="M37" s="22" t="str">
        <x:v>TBD before G0-01 close</x:v>
      </x:c>
      <x:c r="N37" s="22" t="str">
        <x:v>Change Control</x:v>
      </x:c>
      <x:c r="O37" s="22" t="str">
        <x:v>Tenant Isolation 不等于开放代理商平台。</x:v>
      </x:c>
    </x:row>
    <x:row r="38" ht="56" customHeight="1">
      <x:c r="A38" s="22" t="str">
        <x:v>X-18</x:v>
      </x:c>
      <x:c r="B38" s="22" t="str">
        <x:v>CROSS-CUTTING</x:v>
      </x:c>
      <x:c r="C38" s="22" t="str">
        <x:v>Rules</x:v>
      </x:c>
      <x:c r="D38" s="22" t="str">
        <x:v>Dynamic Low-code Policy Platform</x:v>
      </x:c>
      <x:c r="E38" s="22" t="str">
        <x:v>OUT</x:v>
      </x:c>
      <x:c r="F38" s="22" t="str">
        <x:v>POST-MVP</x:v>
      </x:c>
      <x:c r="G38" s="22" t="str">
        <x:v>Not in V1</x:v>
      </x:c>
      <x:c r="H38" s="22" t="str">
        <x:v>Technical structure</x:v>
      </x:c>
      <x:c r="I38" s="22" t="str">
        <x:v>Technical Architecture Reconciliation V1.1</x:v>
      </x:c>
      <x:c r="J38" s="22" t="str">
        <x:v>Future Architecture ADR</x:v>
      </x:c>
      <x:c r="K38" s="22" t="str">
        <x:v>V1 采用版本化 Manifest、不可变 Release 和代码 Evaluator。</x:v>
      </x:c>
      <x:c r="L38" s="22" t="str">
        <x:v>Domain Architecture Lead</x:v>
      </x:c>
      <x:c r="M38" s="22" t="str">
        <x:v>TBD before G0-01 close</x:v>
      </x:c>
      <x:c r="N38" s="22" t="str">
        <x:v>Change Control</x:v>
      </x:c>
      <x:c r="O38" s="22" t="str">
        <x:v>确有运营动态配置需求后再评估。</x:v>
      </x:c>
    </x:row>
    <x:row r="39" ht="56" customHeight="1">
      <x:c r="A39" s="22" t="str">
        <x:v>X-19</x:v>
      </x:c>
      <x:c r="B39" s="22" t="str">
        <x:v>CROSS-CUTTING</x:v>
      </x:c>
      <x:c r="C39" s="22" t="str">
        <x:v>Measurement</x:v>
      </x:c>
      <x:c r="D39" s="22" t="str">
        <x:v>Formal Customer Mention / Recommendation / Citation KPI</x:v>
      </x:c>
      <x:c r="E39" s="22" t="str">
        <x:v>DEFERRED</x:v>
      </x:c>
      <x:c r="F39" s="22" t="str">
        <x:v>MVP-2 COMMERCIAL COMPLETE</x:v>
      </x:c>
      <x:c r="G39" s="22" t="str">
        <x:v>After semantic gates</x:v>
      </x:c>
      <x:c r="H39" s="22" t="str">
        <x:v>Domain semantics</x:v>
      </x:c>
      <x:c r="I39" s="22" t="str">
        <x:v>Decision Pack B/C</x:v>
      </x:c>
      <x:c r="J39" s="22" t="str">
        <x:v>OD-G01-006 + KPI Contract</x:v>
      </x:c>
      <x:c r="K39" s="22" t="str">
        <x:v>Pack B/C、Coverage Context、资格与贡献规则冻结并通过契约测试后才开放客户指标。</x:v>
      </x:c>
      <x:c r="L39" s="22" t="str">
        <x:v>Measurement Lead</x:v>
      </x:c>
      <x:c r="M39" s="22" t="str">
        <x:v>TBD before G0-01 close</x:v>
      </x:c>
      <x:c r="N39" s="22" t="str">
        <x:v>OD-G01-006</x:v>
      </x:c>
      <x:c r="O39" s="22" t="str">
        <x:v>Basic Report 阶段禁止提前输出。</x:v>
      </x:c>
    </x:row>
    <x:row r="40" ht="56" customHeight="1">
      <x:c r="A40" s="22" t="str">
        <x:v>X-20</x:v>
      </x:c>
      <x:c r="B40" s="22" t="str">
        <x:v>CROSS-CUTTING</x:v>
      </x:c>
      <x:c r="C40" s="22" t="str">
        <x:v>Industry</x:v>
      </x:c>
      <x:c r="D40" s="22" t="str">
        <x:v>Full Multi-industry Policy Pack</x:v>
      </x:c>
      <x:c r="E40" s="22" t="str">
        <x:v>DEFERRED</x:v>
      </x:c>
      <x:c r="F40" s="22" t="str">
        <x:v>POST-MVP</x:v>
      </x:c>
      <x:c r="G40" s="22" t="str">
        <x:v>Before second industry</x:v>
      </x:c>
      <x:c r="H40" s="22" t="str">
        <x:v>Commercial direction</x:v>
      </x:c>
      <x:c r="I40" s="22" t="str">
        <x:v>Technical Architecture Reconciliation V1.1</x:v>
      </x:c>
      <x:c r="J40" s="22" t="str">
        <x:v>IndustryPolicyPack ADR</x:v>
      </x:c>
      <x:c r="K40" s="22" t="str">
        <x:v>第二行业正式实现前冻结依赖、兼容、发布、迁移、停用和回滚机制。</x:v>
      </x:c>
      <x:c r="L40" s="22" t="str">
        <x:v>Domain Architecture Lead</x:v>
      </x:c>
      <x:c r="M40" s="22" t="str">
        <x:v>TBD before G0-01 close</x:v>
      </x:c>
      <x:c r="N40" s="22" t="str">
        <x:v>P1</x:v>
      </x:c>
      <x:c r="O40" s="22" t="str">
        <x:v>首行业 + 影子行业先验证无硬编码。</x:v>
      </x:c>
    </x:row>
    <x:row r="41" ht="56" customHeight="1">
      <x:c r="A41" s="22" t="str">
        <x:v>RUN-01</x:v>
      </x:c>
      <x:c r="B41" s="22" t="str">
        <x:v>RUNTIME</x:v>
      </x:c>
      <x:c r="C41" s="22" t="str">
        <x:v>Execution</x:v>
      </x:c>
      <x:c r="D41" s="22" t="str">
        <x:v>Real AI Query Engine</x:v>
      </x:c>
      <x:c r="E41" s="22" t="str">
        <x:v>IN</x:v>
      </x:c>
      <x:c r="F41" s="22" t="str">
        <x:v>MVP-1 WALKING SKELETON</x:v>
      </x:c>
      <x:c r="G41" s="22" t="str">
        <x:v>Walking Skeleton</x:v>
      </x:c>
      <x:c r="H41" s="22" t="str">
        <x:v>Technical structure</x:v>
      </x:c>
      <x:c r="I41" s="22" t="str">
        <x:v>GEO_OS_技术方案定稿版_V1.0</x:v>
      </x:c>
      <x:c r="J41" s="22" t="str">
        <x:v>Execution Contract</x:v>
      </x:c>
      <x:c r="K41" s="22" t="str">
        <x:v>独立运行单元负责资源分配、真实端执行、响应检测、捕获与执行证据。</x:v>
      </x:c>
      <x:c r="L41" s="22" t="str">
        <x:v>Query Platform Lead</x:v>
      </x:c>
      <x:c r="M41" s="22" t="str">
        <x:v>TBD before G0-01 close</x:v>
      </x:c>
      <x:c r="N41" s="22" t="str">
        <x:v>MOD-07</x:v>
      </x:c>
      <x:c r="O41" s="22" t="str">
        <x:v>不得决定正式语义 KPI。</x:v>
      </x:c>
    </x:row>
    <x:row r="42" ht="56" customHeight="1">
      <x:c r="A42" s="22" t="str">
        <x:v>RUN-02</x:v>
      </x:c>
      <x:c r="B42" s="22" t="str">
        <x:v>RUNTIME</x:v>
      </x:c>
      <x:c r="C42" s="22" t="str">
        <x:v>Processing</x:v>
      </x:c>
      <x:c r="D42" s="22" t="str">
        <x:v>AI/Data Worker</x:v>
      </x:c>
      <x:c r="E42" s="22" t="str">
        <x:v>IN</x:v>
      </x:c>
      <x:c r="F42" s="22" t="str">
        <x:v>MVP-1 WALKING SKELETON</x:v>
      </x:c>
      <x:c r="G42" s="22" t="str">
        <x:v>Walking Skeleton</x:v>
      </x:c>
      <x:c r="H42" s="22" t="str">
        <x:v>Technical structure</x:v>
      </x:c>
      <x:c r="I42" s="22" t="str">
        <x:v>GEO_OS_技术方案定稿版_V1.0</x:v>
      </x:c>
      <x:c r="J42" s="22" t="str">
        <x:v>Worker Command/Event Contract</x:v>
      </x:c>
      <x:c r="K42" s="22" t="str">
        <x:v>异步完成抽取、分类、Assessment/Resolution 辅助、Measurement 和报告任务。</x:v>
      </x:c>
      <x:c r="L42" s="22" t="str">
        <x:v>Data Processing Lead</x:v>
      </x:c>
      <x:c r="M42" s="22" t="str">
        <x:v>TBD before G0-01 close</x:v>
      </x:c>
      <x:c r="N42" s="22" t="str">
        <x:v>G0-04/G0-05</x:v>
      </x:c>
      <x:c r="O42" s="22" t="str">
        <x:v>不得覆盖 RawObservation。</x:v>
      </x:c>
    </x:row>
    <x:row r="43" ht="56" customHeight="1">
      <x:c r="A43" s="22" t="str">
        <x:v>RUN-03</x:v>
      </x:c>
      <x:c r="B43" s="22" t="str">
        <x:v>RUNTIME</x:v>
      </x:c>
      <x:c r="C43" s="22" t="str">
        <x:v>Models</x:v>
      </x:c>
      <x:c r="D43" s="22" t="str">
        <x:v>Model Gateway</x:v>
      </x:c>
      <x:c r="E43" s="22" t="str">
        <x:v>IN</x:v>
      </x:c>
      <x:c r="F43" s="22" t="str">
        <x:v>MVP-0 FOUNDATION</x:v>
      </x:c>
      <x:c r="G43" s="22" t="str">
        <x:v>Foundation</x:v>
      </x:c>
      <x:c r="H43" s="22" t="str">
        <x:v>Technical structure</x:v>
      </x:c>
      <x:c r="I43" s="22" t="str">
        <x:v>GEO_OS_技术方案定稿版_V1.0</x:v>
      </x:c>
      <x:c r="J43" s="22" t="str">
        <x:v>Model Invocation Contract</x:v>
      </x:c>
      <x:c r="K43" s="22" t="str">
        <x:v>记录模型、Prompt/配置版本、成本和调用追踪；不替代真实 Surface 观测。</x:v>
      </x:c>
      <x:c r="L43" s="22" t="str">
        <x:v>Model Platform Lead</x:v>
      </x:c>
      <x:c r="M43" s="22" t="str">
        <x:v>TBD before G0-01 close</x:v>
      </x:c>
      <x:c r="N43" s="22" t="str">
        <x:v>X-11</x:v>
      </x:c>
      <x:c r="O43" s="22" t="str">
        <x:v>输出仅作为 Assessment Evidence。</x:v>
      </x:c>
    </x:row>
    <x:row r="44" ht="56" customHeight="1">
      <x:c r="A44" s="22" t="str">
        <x:v>RUN-04</x:v>
      </x:c>
      <x:c r="B44" s="22" t="str">
        <x:v>RUNTIME</x:v>
      </x:c>
      <x:c r="C44" s="22" t="str">
        <x:v>Publishing</x:v>
      </x:c>
      <x:c r="D44" s="22" t="str">
        <x:v>Publisher Worker</x:v>
      </x:c>
      <x:c r="E44" s="22" t="str">
        <x:v>DEFERRED</x:v>
      </x:c>
      <x:c r="F44" s="22" t="str">
        <x:v>MVP-2 COMMERCIAL COMPLETE</x:v>
      </x:c>
      <x:c r="G44" s="22" t="str">
        <x:v>Post Walking Skeleton</x:v>
      </x:c>
      <x:c r="H44" s="22" t="str">
        <x:v>Technical structure</x:v>
      </x:c>
      <x:c r="I44" s="22" t="str">
        <x:v>GEO_OS_技术方案定稿版_V1.0</x:v>
      </x:c>
      <x:c r="J44" s="22" t="str">
        <x:v>OD-G01-004</x:v>
      </x:c>
      <x:c r="K44" s="22" t="str">
        <x:v>明确后续发布适配器与人工辅助流程是否属于 Commercial MVP。</x:v>
      </x:c>
      <x:c r="L44" s="22" t="str">
        <x:v>Publishing Lead</x:v>
      </x:c>
      <x:c r="M44" s="22" t="str">
        <x:v>TBD before G0-01 close</x:v>
      </x:c>
      <x:c r="N44" s="22" t="str">
        <x:v>OD-G01-004</x:v>
      </x:c>
      <x:c r="O44" s="22" t="str">
        <x:v>V1 不形成独立架构门禁。</x:v>
      </x:c>
    </x:row>
  </x:sheetData>
  <x:mergeCells>
    <x:mergeCell ref="A1:O1"/>
    <x:mergeCell ref="A2:O2"/>
    <x:mergeCell ref="A3:O3"/>
  </x:mergeCells>
  <x:conditionalFormatting sqref="E6:E44">
    <x:cfRule type="containsText" dxfId="0" priority="1" operator="containsText" text="IN"/>
    <x:cfRule type="containsText" dxfId="1" priority="2" operator="containsText" text="OUT"/>
    <x:cfRule type="containsText" dxfId="2" priority="3" operator="containsText" text="DEFERRED"/>
  </x:conditionalFormatting>
  <x:conditionalFormatting sqref="M6:M44">
    <x:cfRule type="containsText" dxfId="3" priority="4" operator="containsText" text="TBD"/>
  </x:conditionalFormatting>
  <x:dataValidations count="2">
    <x:dataValidation type="list" sqref="E6:E44">
      <x:formula1>"IN,OUT,DEFERRED"</x:formula1>
    </x:dataValidation>
    <x:dataValidation type="list" sqref="F6:F44">
      <x:formula1>"MVP-0 FOUNDATION,MVP-1 WALKING SKELETON,MVP-2 COMMERCIAL COMPLETE,POST-MVP"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abd12787040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62" hidden="0" customWidth="1"/>
    <x:col min="5" max="5" width="42" hidden="0" customWidth="1"/>
  </x:cols>
  <x:sheetData>
    <x:row r="1" ht="34" customHeight="1">
      <x:c r="A1" s="4" t="str">
        <x:v>ADR-001 · Authority by Decision Domain</x:v>
      </x:c>
      <x:c r="B1" s="4" t="str">
        <x:v>ADR-001 · Authority by Decision Domain</x:v>
      </x:c>
      <x:c r="C1" s="4" t="str">
        <x:v>ADR-001 · Authority by Decision Domain</x:v>
      </x:c>
      <x:c r="D1" s="4" t="str">
        <x:v>ADR-001 · Authority by Decision Domain</x:v>
      </x:c>
      <x:c r="E1" s="4" t="str">
        <x:v>ADR-001 · Authority by Decision Domain</x:v>
      </x:c>
    </x:row>
    <x:row r="2" ht="24" customHeight="1">
      <x:c r="A2" s="8" t="str">
        <x:v>文档权威按决策领域划分，不采用简单全局排名</x:v>
      </x:c>
      <x:c r="B2" s="8" t="str">
        <x:v>文档权威按决策领域划分，不采用简单全局排名</x:v>
      </x:c>
      <x:c r="C2" s="8" t="str">
        <x:v>文档权威按决策领域划分，不采用简单全局排名</x:v>
      </x:c>
      <x:c r="D2" s="8" t="str">
        <x:v>文档权威按决策领域划分，不采用简单全局排名</x:v>
      </x:c>
      <x:c r="E2" s="8" t="str">
        <x:v>文档权威按决策领域划分，不采用简单全局排名</x:v>
      </x:c>
    </x:row>
    <x:row r="3">
      <x:c r="A3" s="25" t="str">
        <x:v>冲突原则：同一决策领域内，正式冻结 &gt; 草案；范围更具体 &gt; 一般；显式替代且版本更新 &gt; 旧版本。跨领域冲突进入 Change Request。</x:v>
      </x:c>
      <x:c r="B3" s="25"/>
      <x:c r="C3" s="25"/>
      <x:c r="D3" s="25"/>
      <x:c r="E3" s="25"/>
    </x:row>
    <x:row r="5" ht="34" customHeight="1">
      <x:c r="A5" s="17" t="str">
        <x:v>Decision Domain</x:v>
      </x:c>
      <x:c r="B5" s="17" t="str">
        <x:v>Primary Authority</x:v>
      </x:c>
      <x:c r="C5" s="17" t="str">
        <x:v>Applies To</x:v>
      </x:c>
      <x:c r="D5" s="17" t="str">
        <x:v>Conflict Rule</x:v>
      </x:c>
      <x:c r="E5" s="17" t="str">
        <x:v>Escalation / Required Output</x:v>
      </x:c>
    </x:row>
    <x:row r="6" ht="74" customHeight="1">
      <x:c r="A6" s="30" t="str">
        <x:v>Commercial direction</x:v>
      </x:c>
      <x:c r="B6" s="30" t="str">
        <x:v>GEO_OS_业务背景定稿版_V1.0 / GEO_OS_产品方案定稿版_V1.0</x:v>
      </x:c>
      <x:c r="C6" s="30" t="str">
        <x:v>商业目标、目标客户、产品边界、商业模式和路线方向</x:v>
      </x:c>
      <x:c r="D6" s="30" t="str">
        <x:v>同一领域内：正式冻结 &gt; 草案；范围更具体 &gt; 一般；显式替代的新版本 &gt; 旧版本。</x:v>
      </x:c>
      <x:c r="E6" s="30" t="str">
        <x:v>冲突无法消解时提交 MVP Scope Change Request。</x:v>
      </x:c>
    </x:row>
    <x:row r="7" ht="74" customHeight="1">
      <x:c r="A7" s="30" t="str">
        <x:v>MVP scope &amp; acceptance</x:v>
      </x:c>
      <x:c r="B7" s="30" t="str">
        <x:v>GEO_OS_需求方案定稿版_V1.0</x:v>
      </x:c>
      <x:c r="C7" s="30" t="str">
        <x:v>IN/OUT、优先级、角色权限、功能验收和非功能验收</x:v>
      </x:c>
      <x:c r="D7" s="30" t="str">
        <x:v>需求方案不得修改 A/B/C 领域语义；语义变化必须进入领域契约变更。</x:v>
      </x:c>
      <x:c r="E7" s="30" t="str">
        <x:v>更新 Scope Matrix、验收 ID 和 Traceability。</x:v>
      </x:c>
    </x:row>
    <x:row r="8" ht="74" customHeight="1">
      <x:c r="A8" s="30" t="str">
        <x:v>Domain semantics</x:v>
      </x:c>
      <x:c r="B8" s="30" t="str">
        <x:v>Decision Pack A1/A2/A3/B/C 最终冻结版</x:v>
      </x:c>
      <x:c r="C8" s="30" t="str">
        <x:v>Observation、Validity、Eligibility、Mention、Recommendation、Citation、Review、Snapshot 等语义</x:v>
      </x:c>
      <x:c r="D8" s="30" t="str">
        <x:v>最终冻结且更具体的决议优先；技术实现不得以既有代码惯例覆盖冻结语义。</x:v>
      </x:c>
      <x:c r="E8" s="30" t="str">
        <x:v>Breaking Contract Change + 领域批准。</x:v>
      </x:c>
    </x:row>
    <x:row r="9" ht="74" customHeight="1">
      <x:c r="A9" s="30" t="str">
        <x:v>Technical structure</x:v>
      </x:c>
      <x:c r="B9" s="30" t="str">
        <x:v>Technical Architecture Reconciliation V1.1 / GEO_OS_技术方案定稿版_V1.0</x:v>
      </x:c>
      <x:c r="C9" s="30" t="str">
        <x:v>模块边界、运行单元、存储、事件、可靠性、安全和基础设施</x:v>
      </x:c>
      <x:c r="D9" s="30" t="str">
        <x:v>V1.1 对当前工程边界负责；技术方案提供上位技术背景。</x:v>
      </x:c>
      <x:c r="E9" s="30" t="str">
        <x:v>形成或升级 Architecture ADR。</x:v>
      </x:c>
    </x:row>
    <x:row r="10" ht="74" customHeight="1">
      <x:c r="A10" s="30" t="str">
        <x:v>Engineering implementation</x:v>
      </x:c>
      <x:c r="B10" s="30" t="str">
        <x:v>Domain Contract / ADR / API / Schema / Event Contract / Migration / Contract Test</x:v>
      </x:c>
      <x:c r="C10" s="30" t="str">
        <x:v>可执行工程实现与版本</x:v>
      </x:c>
      <x:c r="D10" s="30" t="str">
        <x:v>必须证明对上位 Scope、领域语义和技术结构的实现，不得反向改写上位决策。</x:v>
      </x:c>
      <x:c r="E10" s="30" t="str">
        <x:v>PR 需要 Traceability 与契约测试。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62" hidden="0" customWidth="1"/>
    <x:col min="4" max="4" width="22" hidden="0" customWidth="1"/>
    <x:col min="5" max="5" width="34" hidden="0" customWidth="1"/>
    <x:col min="6" max="6" width="58" hidden="0" customWidth="1"/>
  </x:cols>
  <x:sheetData>
    <x:row r="1" ht="34" customHeight="1">
      <x:c r="A1" s="4" t="str">
        <x:v>G0-01 Change Control</x:v>
      </x:c>
      <x:c r="B1" s="4" t="str">
        <x:v>G0-01 Change Control</x:v>
      </x:c>
      <x:c r="C1" s="4" t="str">
        <x:v>G0-01 Change Control</x:v>
      </x:c>
      <x:c r="D1" s="4" t="str">
        <x:v>G0-01 Change Control</x:v>
      </x:c>
      <x:c r="E1" s="4" t="str">
        <x:v>G0-01 Change Control</x:v>
      </x:c>
      <x:c r="F1" s="4" t="str">
        <x:v>G0-01 Change Control</x:v>
      </x:c>
    </x:row>
    <x:row r="2" ht="24" customHeight="1">
      <x:c r="A2" s="8" t="str">
        <x:v>Change Request → 分类 → 影响评估 → 审批 → 版本升级 → Traceability 更新 → 发布</x:v>
      </x:c>
      <x:c r="B2" s="8" t="str">
        <x:v>Change Request → 分类 → 影响评估 → 审批 → 版本升级 → Traceability 更新 → 发布</x:v>
      </x:c>
      <x:c r="C2" s="8" t="str">
        <x:v>Change Request → 分类 → 影响评估 → 审批 → 版本升级 → Traceability 更新 → 发布</x:v>
      </x:c>
      <x:c r="D2" s="8" t="str">
        <x:v>Change Request → 分类 → 影响评估 → 审批 → 版本升级 → Traceability 更新 → 发布</x:v>
      </x:c>
      <x:c r="E2" s="8" t="str">
        <x:v>Change Request → 分类 → 影响评估 → 审批 → 版本升级 → Traceability 更新 → 发布</x:v>
      </x:c>
      <x:c r="F2" s="8" t="str">
        <x:v>Change Request → 分类 → 影响评估 → 审批 → 版本升级 → Traceability 更新 → 发布</x:v>
      </x:c>
    </x:row>
    <x:row r="4">
      <x:c r="A4" s="32" t="str">
        <x:v>流程阶段</x:v>
      </x:c>
      <x:c r="B4" s="32"/>
      <x:c r="C4" s="32"/>
      <x:c r="D4" s="32"/>
      <x:c r="E4" s="32"/>
    </x:row>
    <x:row r="5" ht="34" customHeight="1">
      <x:c r="A5" s="17" t="str">
        <x:v>Step</x:v>
      </x:c>
      <x:c r="B5" s="17" t="str">
        <x:v>Stage</x:v>
      </x:c>
      <x:c r="C5" s="17" t="str">
        <x:v>Required Work</x:v>
      </x:c>
      <x:c r="D5" s="17" t="str">
        <x:v>Output</x:v>
      </x:c>
      <x:c r="E5" s="17" t="str">
        <x:v>Accountable Role</x:v>
      </x:c>
    </x:row>
    <x:row r="6" ht="58" customHeight="1">
      <x:c r="A6" s="30" t="n">
        <x:v>1</x:v>
      </x:c>
      <x:c r="B6" s="30" t="str">
        <x:v>Change Request</x:v>
      </x:c>
      <x:c r="C6" s="30" t="str">
        <x:v>提交问题、动机、拟议变化、受影响对象和期望时间。</x:v>
      </x:c>
      <x:c r="D6" s="30" t="str">
        <x:v>Request ID + 初始证据</x:v>
      </x:c>
      <x:c r="E6" s="30" t="str">
        <x:v>Requester / PM</x:v>
      </x:c>
    </x:row>
    <x:row r="7" ht="58" customHeight="1">
      <x:c r="A7" s="30" t="n">
        <x:v>2</x:v>
      </x:c>
      <x:c r="B7" s="30" t="str">
        <x:v>Classification</x:v>
      </x:c>
      <x:c r="C7" s="30" t="str">
        <x:v>分类为编辑性、兼容性新增、破坏性契约变更或 MVP 范围变更。</x:v>
      </x:c>
      <x:c r="D7" s="30" t="str">
        <x:v>Change Class</x:v>
      </x:c>
      <x:c r="E7" s="30" t="str">
        <x:v>Architecture Governance</x:v>
      </x:c>
    </x:row>
    <x:row r="8" ht="58" customHeight="1">
      <x:c r="A8" s="30" t="n">
        <x:v>3</x:v>
      </x:c>
      <x:c r="B8" s="30" t="str">
        <x:v>Impact Assessment</x:v>
      </x:c>
      <x:c r="C8" s="30" t="str">
        <x:v>评估 Scope、领域语义、API/Schema/Event、数据迁移、历史复现、安全、测试和交付影响。</x:v>
      </x:c>
      <x:c r="D8" s="30" t="str">
        <x:v>Impact Report</x:v>
      </x:c>
      <x:c r="E8" s="30" t="str">
        <x:v>Domain + Technical Owners</x:v>
      </x:c>
    </x:row>
    <x:row r="9" ht="58" customHeight="1">
      <x:c r="A9" s="30" t="n">
        <x:v>4</x:v>
      </x:c>
      <x:c r="B9" s="30" t="str">
        <x:v>Approval</x:v>
      </x:c>
      <x:c r="C9" s="30" t="str">
        <x:v>按决策领域路由至产品、领域、技术或项目批准人；破坏性和范围变更不得由单一开发者批准。</x:v>
      </x:c>
      <x:c r="D9" s="30" t="str">
        <x:v>Approval Record</x:v>
      </x:c>
      <x:c r="E9" s="30" t="str">
        <x:v>Designated Approver</x:v>
      </x:c>
    </x:row>
    <x:row r="10" ht="58" customHeight="1">
      <x:c r="A10" s="30" t="n">
        <x:v>5</x:v>
      </x:c>
      <x:c r="B10" s="30" t="str">
        <x:v>Version Upgrade</x:v>
      </x:c>
      <x:c r="C10" s="30" t="str">
        <x:v>按分类升级文档、Contract、API/Schema/Event 和 Policy Release 版本。</x:v>
      </x:c>
      <x:c r="D10" s="30" t="str">
        <x:v>Versioned Artifacts</x:v>
      </x:c>
      <x:c r="E10" s="30" t="str">
        <x:v>Artifact Owners</x:v>
      </x:c>
    </x:row>
    <x:row r="11" ht="58" customHeight="1">
      <x:c r="A11" s="30" t="n">
        <x:v>6</x:v>
      </x:c>
      <x:c r="B11" s="30" t="str">
        <x:v>Traceability Update</x:v>
      </x:c>
      <x:c r="C11" s="30" t="str">
        <x:v>更新 Scope Matrix、ADR、Rule→Object→Schema/API/Event→Code→Test 映射和 Open Decision。</x:v>
      </x:c>
      <x:c r="D11" s="30" t="str">
        <x:v>Updated Traceability</x:v>
      </x:c>
      <x:c r="E11" s="30" t="str">
        <x:v>Architecture Governance + QA</x:v>
      </x:c>
    </x:row>
    <x:row r="12" ht="58" customHeight="1">
      <x:c r="A12" s="30" t="n">
        <x:v>7</x:v>
      </x:c>
      <x:c r="B12" s="30" t="str">
        <x:v>Release</x:v>
      </x:c>
      <x:c r="C12" s="30" t="str">
        <x:v>通过迁移、兼容、回归、契约和回滚检查后发布，并保留 Release Record。</x:v>
      </x:c>
      <x:c r="D12" s="30" t="str">
        <x:v>Release Record</x:v>
      </x:c>
      <x:c r="E12" s="30" t="str">
        <x:v>Release Owner</x:v>
      </x:c>
    </x:row>
    <x:row r="15">
      <x:c r="A15" s="32" t="str">
        <x:v>变更分类与版本影响</x:v>
      </x:c>
      <x:c r="B15" s="32"/>
      <x:c r="C15" s="32"/>
      <x:c r="D15" s="32"/>
      <x:c r="E15" s="32"/>
      <x:c r="F15" s="32"/>
    </x:row>
    <x:row r="16" ht="34" customHeight="1">
      <x:c r="A16" s="17" t="str">
        <x:v>Code</x:v>
      </x:c>
      <x:c r="B16" s="17" t="str">
        <x:v>Class</x:v>
      </x:c>
      <x:c r="C16" s="17" t="str">
        <x:v>Definition</x:v>
      </x:c>
      <x:c r="D16" s="17" t="str">
        <x:v>Version Impact</x:v>
      </x:c>
      <x:c r="E16" s="17" t="str">
        <x:v>Required Approver</x:v>
      </x:c>
      <x:c r="F16" s="17" t="str">
        <x:v>Minimum Evidence</x:v>
      </x:c>
    </x:row>
    <x:row r="17" ht="72" customHeight="1">
      <x:c r="A17" s="30" t="str">
        <x:v>EDITORIAL</x:v>
      </x:c>
      <x:c r="B17" s="30" t="str">
        <x:v>编辑性</x:v>
      </x:c>
      <x:c r="C17" s="30" t="str">
        <x:v>不改变语义、范围、字段含义或行为的文字/排版修正。</x:v>
      </x:c>
      <x:c r="D17" s="30" t="str">
        <x:v>Patch</x:v>
      </x:c>
      <x:c r="E17" s="30" t="str">
        <x:v>文档 Owner</x:v>
      </x:c>
      <x:c r="F17" s="30" t="str">
        <x:v>基础校对；引用/ID 未变化时可不重跑全量契约测试。</x:v>
      </x:c>
    </x:row>
    <x:row r="18" ht="72" customHeight="1">
      <x:c r="A18" s="30" t="str">
        <x:v>COMPATIBLE_ADDITION</x:v>
      </x:c>
      <x:c r="B18" s="30" t="str">
        <x:v>兼容性新增</x:v>
      </x:c>
      <x:c r="C18" s="30" t="str">
        <x:v>新增可选字段、可选状态、兼容 API 或不影响旧消费者的新能力。</x:v>
      </x:c>
      <x:c r="D18" s="30" t="str">
        <x:v>Minor</x:v>
      </x:c>
      <x:c r="E18" s="30" t="str">
        <x:v>领域 Owner + 技术 Owner</x:v>
      </x:c>
      <x:c r="F18" s="30" t="str">
        <x:v>向后兼容测试、默认行为、Schema/API/Event 版本与 Traceability。</x:v>
      </x:c>
    </x:row>
    <x:row r="19" ht="72" customHeight="1">
      <x:c r="A19" s="30" t="str">
        <x:v>BREAKING_CONTRACT</x:v>
      </x:c>
      <x:c r="B19" s="30" t="str">
        <x:v>破坏性契约变更</x:v>
      </x:c>
      <x:c r="C19" s="30" t="str">
        <x:v>改变已有语义、必填字段、状态机、唯一约束、历史复现或消费者行为。</x:v>
      </x:c>
      <x:c r="D19" s="30" t="str">
        <x:v>Major</x:v>
      </x:c>
      <x:c r="E19" s="30" t="str">
        <x:v>领域批准人 + 架构批准人</x:v>
      </x:c>
      <x:c r="F19" s="30" t="str">
        <x:v>迁移/双读写/回滚方案、历史影响、完整契约回归；必要时重开相关 Gate。</x:v>
      </x:c>
    </x:row>
    <x:row r="20" ht="72" customHeight="1">
      <x:c r="A20" s="30" t="str">
        <x:v>MVP_SCOPE_CHANGE</x:v>
      </x:c>
      <x:c r="B20" s="30" t="str">
        <x:v>MVP 范围变更</x:v>
      </x:c>
      <x:c r="C20" s="30" t="str">
        <x:v>改变 IN/OUT/DEFERRED、MVP 等级、验收边界、第三方能力或正式 KPI 准入。</x:v>
      </x:c>
      <x:c r="D20" s="30" t="str">
        <x:v>Scope Baseline Version</x:v>
      </x:c>
      <x:c r="E20" s="30" t="str">
        <x:v>Product Sponsor + Project Manager</x:v>
      </x:c>
      <x:c r="F20" s="30" t="str">
        <x:v>商业影响、排期/成本、依赖、验收、风险和 Scope Matrix 全量更新。</x:v>
      </x:c>
    </x:row>
  </x:sheetData>
  <x:mergeCells>
    <x:mergeCell ref="A1:F1"/>
    <x:mergeCell ref="A2:F2"/>
    <x:mergeCell ref="A4:E4"/>
    <x:mergeCell ref="A15:F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  <x:col min="3" max="3" width="24" hidden="0" customWidth="1"/>
    <x:col min="4" max="4" width="22" hidden="0" customWidth="1"/>
    <x:col min="5" max="5" width="34" hidden="0" customWidth="1"/>
    <x:col min="6" max="6" width="16" hidden="0" customWidth="1"/>
    <x:col min="7" max="7" width="14" hidden="0" customWidth="1"/>
    <x:col min="8" max="8" width="40" hidden="0" customWidth="1"/>
    <x:col min="9" max="9" width="46" hidden="0" customWidth="1"/>
  </x:cols>
  <x:sheetData>
    <x:row r="1" ht="34" customHeight="1">
      <x:c r="A1" s="4" t="str">
        <x:v>G0-01 Open Decision Register</x:v>
      </x:c>
      <x:c r="B1" s="4" t="str">
        <x:v>G0-01 Open Decision Register</x:v>
      </x:c>
      <x:c r="C1" s="4" t="str">
        <x:v>G0-01 Open Decision Register</x:v>
      </x:c>
      <x:c r="D1" s="4" t="str">
        <x:v>G0-01 Open Decision Register</x:v>
      </x:c>
      <x:c r="E1" s="4" t="str">
        <x:v>G0-01 Open Decision Register</x:v>
      </x:c>
      <x:c r="F1" s="4" t="str">
        <x:v>G0-01 Open Decision Register</x:v>
      </x:c>
      <x:c r="G1" s="4" t="str">
        <x:v>G0-01 Open Decision Register</x:v>
      </x:c>
      <x:c r="H1" s="4" t="str">
        <x:v>G0-01 Open Decision Register</x:v>
      </x:c>
      <x:c r="I1" s="4" t="str">
        <x:v>G0-01 Open Decision Register</x:v>
      </x:c>
    </x:row>
    <x:row r="2" ht="24" customHeight="1">
      <x:c r="A2" s="8" t="str">
        <x:v>所有已知冲突必须已解决，或登记具备负责人、期限和关闭产物的 Open Decision</x:v>
      </x:c>
      <x:c r="B2" s="8" t="str">
        <x:v>所有已知冲突必须已解决，或登记具备负责人、期限和关闭产物的 Open Decision</x:v>
      </x:c>
      <x:c r="C2" s="8" t="str">
        <x:v>所有已知冲突必须已解决，或登记具备负责人、期限和关闭产物的 Open Decision</x:v>
      </x:c>
      <x:c r="D2" s="8" t="str">
        <x:v>所有已知冲突必须已解决，或登记具备负责人、期限和关闭产物的 Open Decision</x:v>
      </x:c>
      <x:c r="E2" s="8" t="str">
        <x:v>所有已知冲突必须已解决，或登记具备负责人、期限和关闭产物的 Open Decision</x:v>
      </x:c>
      <x:c r="F2" s="8" t="str">
        <x:v>所有已知冲突必须已解决，或登记具备负责人、期限和关闭产物的 Open Decision</x:v>
      </x:c>
      <x:c r="G2" s="8" t="str">
        <x:v>所有已知冲突必须已解决，或登记具备负责人、期限和关闭产物的 Open Decision</x:v>
      </x:c>
      <x:c r="H2" s="8" t="str">
        <x:v>所有已知冲突必须已解决，或登记具备负责人、期限和关闭产物的 Open Decision</x:v>
      </x:c>
      <x:c r="I2" s="8" t="str">
        <x:v>所有已知冲突必须已解决，或登记具备负责人、期限和关闭产物的 Open Decision</x:v>
      </x:c>
    </x:row>
    <x:row r="3">
      <x:c r="A3" s="10" t="str">
        <x:v>当前状态：6 项 OPEN。G0-01 不满足关闭条件。</x:v>
      </x:c>
      <x:c r="B3" s="10"/>
      <x:c r="C3" s="10"/>
      <x:c r="D3" s="10"/>
      <x:c r="E3" s="10"/>
      <x:c r="F3" s="10"/>
      <x:c r="G3" s="10"/>
      <x:c r="H3" s="10"/>
      <x:c r="I3" s="10"/>
    </x:row>
    <x:row r="5" ht="34" customHeight="1">
      <x:c r="A5" s="17" t="str">
        <x:v>Decision ID</x:v>
      </x:c>
      <x:c r="B5" s="17" t="str">
        <x:v>Decision</x:v>
      </x:c>
      <x:c r="C5" s="17" t="str">
        <x:v>Change Class</x:v>
      </x:c>
      <x:c r="D5" s="17" t="str">
        <x:v>Affected Scope</x:v>
      </x:c>
      <x:c r="E5" s="17" t="str">
        <x:v>Owner</x:v>
      </x:c>
      <x:c r="F5" s="17" t="str">
        <x:v>Due Date</x:v>
      </x:c>
      <x:c r="G5" s="17" t="str">
        <x:v>Status</x:v>
      </x:c>
      <x:c r="H5" s="17" t="str">
        <x:v>Closure Artifact</x:v>
      </x:c>
      <x:c r="I5" s="17" t="str">
        <x:v>Notes</x:v>
      </x:c>
    </x:row>
    <x:row r="6" ht="66" customHeight="1">
      <x:c r="A6" s="22" t="str">
        <x:v>OD-G01-001</x:v>
      </x:c>
      <x:c r="B6" s="22" t="str">
        <x:v>为全部 Scope Matrix 行指定具名负责人和替补负责人。</x:v>
      </x:c>
      <x:c r="C6" s="22" t="str">
        <x:v>MVP_SCOPE_CHANGE</x:v>
      </x:c>
      <x:c r="D6" s="22" t="str">
        <x:v>ALL</x:v>
      </x:c>
      <x:c r="E6" s="22" t="str">
        <x:v>Project Manager / Sponsor</x:v>
      </x:c>
      <x:c r="F6" s="33" t="n">
        <x:v>46259</x:v>
      </x:c>
      <x:c r="G6" s="22" t="str">
        <x:v>OPEN</x:v>
      </x:c>
      <x:c r="H6" s="22" t="str">
        <x:v>Named Owner columns completed</x:v>
      </x:c>
      <x:c r="I6" s="22" t="str">
        <x:v>当前仅填 Owner Role，未达到关闭条件。</x:v>
      </x:c>
    </x:row>
    <x:row r="7" ht="66" customHeight="1">
      <x:c r="A7" s="22" t="str">
        <x:v>OD-G01-002</x:v>
      </x:c>
      <x:c r="B7" s="22" t="str">
        <x:v>确认 GEO Intelligence 正式策略输出是否属于 Commercial MVP，以及最小验收口径。</x:v>
      </x:c>
      <x:c r="C7" s="22" t="str">
        <x:v>MVP_SCOPE_CHANGE</x:v>
      </x:c>
      <x:c r="D7" s="22" t="str">
        <x:v>MOD-12</x:v>
      </x:c>
      <x:c r="E7" s="22" t="str">
        <x:v>Product Owner</x:v>
      </x:c>
      <x:c r="F7" s="33" t="n">
        <x:v>46260</x:v>
      </x:c>
      <x:c r="G7" s="22" t="str">
        <x:v>OPEN</x:v>
      </x:c>
      <x:c r="H7" s="22" t="str">
        <x:v>Scope decision + acceptance update</x:v>
      </x:c>
      <x:c r="I7" s="22" t="str">
        <x:v>不阻塞 Walking Skeleton。</x:v>
      </x:c>
    </x:row>
    <x:row r="8" ht="66" customHeight="1">
      <x:c r="A8" s="22" t="str">
        <x:v>OD-G01-003</x:v>
      </x:c>
      <x:c r="B8" s="22" t="str">
        <x:v>确认 Intervention 与 Effect Validation 的 Commercial MVP 边界。</x:v>
      </x:c>
      <x:c r="C8" s="22" t="str">
        <x:v>MVP_SCOPE_CHANGE</x:v>
      </x:c>
      <x:c r="D8" s="22" t="str">
        <x:v>MOD-13</x:v>
      </x:c>
      <x:c r="E8" s="22" t="str">
        <x:v>Product Owner + Domain Architect</x:v>
      </x:c>
      <x:c r="F8" s="33" t="n">
        <x:v>46261</x:v>
      </x:c>
      <x:c r="G8" s="22" t="str">
        <x:v>OPEN</x:v>
      </x:c>
      <x:c r="H8" s="22" t="str">
        <x:v>Versioned intervention acceptance contract</x:v>
      </x:c>
      <x:c r="I8" s="22" t="str">
        <x:v>需区分代码能力完成与行业策略完善。</x:v>
      </x:c>
    </x:row>
    <x:row r="9" ht="66" customHeight="1">
      <x:c r="A9" s="22" t="str">
        <x:v>OD-G01-004</x:v>
      </x:c>
      <x:c r="B9" s="22" t="str">
        <x:v>确认 Publisher Worker 在 V1 中的状态：DEFERRED 或 MVP-2。</x:v>
      </x:c>
      <x:c r="C9" s="22" t="str">
        <x:v>MVP_SCOPE_CHANGE</x:v>
      </x:c>
      <x:c r="D9" s="22" t="str">
        <x:v>RUN-04</x:v>
      </x:c>
      <x:c r="E9" s="22" t="str">
        <x:v>Technical Architect + Product Owner</x:v>
      </x:c>
      <x:c r="F9" s="33" t="n">
        <x:v>46259</x:v>
      </x:c>
      <x:c r="G9" s="22" t="str">
        <x:v>OPEN</x:v>
      </x:c>
      <x:c r="H9" s="22" t="str">
        <x:v>Runtime scope ADR</x:v>
      </x:c>
      <x:c r="I9" s="22" t="str">
        <x:v>当前不作为独立 Gate。</x:v>
      </x:c>
    </x:row>
    <x:row r="10" ht="66" customHeight="1">
      <x:c r="A10" s="22" t="str">
        <x:v>OD-G01-005</x:v>
      </x:c>
      <x:c r="B10" s="22" t="str">
        <x:v>完成需求方案章节到 Scope ID、Acceptance ID 和 Contract Test ID 的覆盖核对。</x:v>
      </x:c>
      <x:c r="C10" s="22" t="str">
        <x:v>COMPATIBLE_ADDITION</x:v>
      </x:c>
      <x:c r="D10" s="22" t="str">
        <x:v>ALL</x:v>
      </x:c>
      <x:c r="E10" s="22" t="str">
        <x:v>Business Analyst + QA Lead</x:v>
      </x:c>
      <x:c r="F10" s="33" t="n">
        <x:v>46262</x:v>
      </x:c>
      <x:c r="G10" s="22" t="str">
        <x:v>OPEN</x:v>
      </x:c>
      <x:c r="H10" s="22" t="str">
        <x:v>Requirements coverage report</x:v>
      </x:c>
      <x:c r="I10" s="22" t="str">
        <x:v>用于证明没有模块或验收遗漏。</x:v>
      </x:c>
    </x:row>
    <x:row r="11" ht="66" customHeight="1">
      <x:c r="A11" s="22" t="str">
        <x:v>OD-G01-006</x:v>
      </x:c>
      <x:c r="B11" s="22" t="str">
        <x:v>冻结正式客户 Mention/Recommendation/Citation KPI 的准入条件。</x:v>
      </x:c>
      <x:c r="C11" s="22" t="str">
        <x:v>BREAKING_CONTRACT</x:v>
      </x:c>
      <x:c r="D11" s="22" t="str">
        <x:v>X-19/MOD-14</x:v>
      </x:c>
      <x:c r="E11" s="22" t="str">
        <x:v>Measurement Lead + Product Owner</x:v>
      </x:c>
      <x:c r="F11" s="33" t="n">
        <x:v>46261</x:v>
      </x:c>
      <x:c r="G11" s="22" t="str">
        <x:v>OPEN</x:v>
      </x:c>
      <x:c r="H11" s="22" t="str">
        <x:v>KPI entry ADR + Pack B/C traceability</x:v>
      </x:c>
      <x:c r="I11" s="22" t="str">
        <x:v>Basic Report 在此之前只验证 Snapshot 消费。</x:v>
      </x:c>
    </x:row>
  </x:sheetData>
  <x:mergeCells>
    <x:mergeCell ref="A1:I1"/>
    <x:mergeCell ref="A2:I2"/>
    <x:mergeCell ref="A3:I3"/>
  </x:mergeCells>
  <x:conditionalFormatting sqref="G6:G11">
    <x:cfRule type="containsText" dxfId="4" priority="1" operator="containsText" text="OPEN"/>
    <x:cfRule type="containsText" dxfId="5" priority="2" operator="containsText" text="RESOLVED"/>
  </x:conditionalFormatting>
  <x:dataValidations count="1">
    <x:dataValidation type="list" sqref="G6:G11">
      <x:formula1>"OPEN,RESOLVED,CANCELLED"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5566aa51d542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42" hidden="0" customWidth="1"/>
    <x:col min="4" max="4" width="30" hidden="0" customWidth="1"/>
    <x:col min="5" max="5" width="20" hidden="0" customWidth="1"/>
    <x:col min="6" max="6" width="48" hidden="0" customWidth="1"/>
  </x:cols>
  <x:sheetData>
    <x:row r="1" ht="34" customHeight="1">
      <x:c r="A1" s="4" t="str">
        <x:v>G0-01 Gate Summary</x:v>
      </x:c>
      <x:c r="B1" s="4" t="str">
        <x:v>G0-01 Gate Summary</x:v>
      </x:c>
      <x:c r="C1" s="4" t="str">
        <x:v>G0-01 Gate Summary</x:v>
      </x:c>
      <x:c r="D1" s="4" t="str">
        <x:v>G0-01 Gate Summary</x:v>
      </x:c>
      <x:c r="E1" s="4" t="str">
        <x:v>G0-01 Gate Summary</x:v>
      </x:c>
      <x:c r="F1" s="4" t="str">
        <x:v>G0-01 Gate Summary</x:v>
      </x:c>
    </x:row>
    <x:row r="2" ht="24" customHeight="1">
      <x:c r="A2" s="8" t="str">
        <x:v>公式驱动的关闭就绪度；当前 Gate 必须保持 OPEN</x:v>
      </x:c>
      <x:c r="B2" s="8" t="str">
        <x:v>公式驱动的关闭就绪度；当前 Gate 必须保持 OPEN</x:v>
      </x:c>
      <x:c r="C2" s="8" t="str">
        <x:v>公式驱动的关闭就绪度；当前 Gate 必须保持 OPEN</x:v>
      </x:c>
      <x:c r="D2" s="8" t="str">
        <x:v>公式驱动的关闭就绪度；当前 Gate 必须保持 OPEN</x:v>
      </x:c>
      <x:c r="E2" s="8" t="str">
        <x:v>公式驱动的关闭就绪度；当前 Gate 必须保持 OPEN</x:v>
      </x:c>
      <x:c r="F2" s="8" t="str">
        <x:v>公式驱动的关闭就绪度；当前 Gate 必须保持 OPEN</x:v>
      </x:c>
    </x:row>
    <x:row r="3" ht="30" customHeight="1">
      <x:c r="A3" s="36" t="str">
        <x:f>IF(AND(B11=0,B12=0,B13=0),"READY FOR REVIEW","OPEN / PENDING REVIEW")</x:f>
        <x:v>OPEN / PENDING REVIEW</x:v>
      </x:c>
      <x:c r="B3" s="36"/>
      <x:c r="C3" s="36"/>
      <x:c r="D3" s="36"/>
      <x:c r="E3" s="36"/>
      <x:c r="F3" s="36"/>
    </x:row>
    <x:row r="5" ht="34" customHeight="1">
      <x:c r="A5" s="17" t="str">
        <x:v>Metric</x:v>
      </x:c>
      <x:c r="B5" s="17" t="str">
        <x:v>Value</x:v>
      </x:c>
    </x:row>
    <x:row r="6">
      <x:c r="A6" s="30" t="str">
        <x:v>Total scope items</x:v>
      </x:c>
      <x:c r="B6" s="30" t="n">
        <x:f>COUNTA('Scope Matrix'!$A$6:$A$44)</x:f>
        <x:v>39</x:v>
      </x:c>
    </x:row>
    <x:row r="7">
      <x:c r="A7" s="30" t="str">
        <x:v>IN</x:v>
      </x:c>
      <x:c r="B7" s="30" t="n">
        <x:f>COUNTIF('Scope Matrix'!$E$6:$E$44,"IN")</x:f>
        <x:v>32</x:v>
      </x:c>
    </x:row>
    <x:row r="8">
      <x:c r="A8" s="30" t="str">
        <x:v>OUT</x:v>
      </x:c>
      <x:c r="B8" s="30" t="n">
        <x:f>COUNTIF('Scope Matrix'!$E$6:$E$44,"OUT")</x:f>
        <x:v>2</x:v>
      </x:c>
    </x:row>
    <x:row r="9">
      <x:c r="A9" s="30" t="str">
        <x:v>DEFERRED</x:v>
      </x:c>
      <x:c r="B9" s="30" t="n">
        <x:f>COUNTIF('Scope Matrix'!$E$6:$E$44,"DEFERRED")</x:f>
        <x:v>5</x:v>
      </x:c>
    </x:row>
    <x:row r="10">
      <x:c r="A10" s="30" t="str">
        <x:v>Scope decision blanks</x:v>
      </x:c>
      <x:c r="B10" s="30" t="n">
        <x:f>COUNTBLANK('Scope Matrix'!$E$6:$E$44)</x:f>
        <x:v>0</x:v>
      </x:c>
    </x:row>
    <x:row r="11">
      <x:c r="A11" s="30" t="str">
        <x:v>Named owner unresolved</x:v>
      </x:c>
      <x:c r="B11" s="30" t="n">
        <x:f>COUNTIF('Scope Matrix'!$M$6:$M$44,"TBD before G0-01 close")</x:f>
        <x:v>39</x:v>
      </x:c>
    </x:row>
    <x:row r="12">
      <x:c r="A12" s="30" t="str">
        <x:v>Open decisions</x:v>
      </x:c>
      <x:c r="B12" s="30" t="n">
        <x:f>COUNTIF('Open Decisions'!$G$6:$G$11,"OPEN")</x:f>
        <x:v>6</x:v>
      </x:c>
    </x:row>
    <x:row r="13">
      <x:c r="A13" s="30" t="str">
        <x:v>Past-due open decisions</x:v>
      </x:c>
      <x:c r="B13" s="30" t="n">
        <x:f>COUNTIFS('Open Decisions'!$G$6:$G$11,"OPEN",'Open Decisions'!$F$6:$F$11,"&lt;"&amp;TODAY())</x:f>
        <x:v>0</x:v>
      </x:c>
    </x:row>
    <x:row r="15">
      <x:c r="A15" s="32" t="str">
        <x:v>G0-01 Exit Checklist</x:v>
      </x:c>
      <x:c r="B15" s="32"/>
      <x:c r="C15" s="32"/>
      <x:c r="D15" s="32"/>
      <x:c r="E15" s="32"/>
      <x:c r="F15" s="32"/>
    </x:row>
    <x:row r="16" ht="34" customHeight="1">
      <x:c r="A16" s="17" t="str">
        <x:v>Check</x:v>
      </x:c>
      <x:c r="B16" s="17" t="str">
        <x:v>Required Evidence</x:v>
      </x:c>
      <x:c r="C16" s="17" t="str">
        <x:v>Current Result</x:v>
      </x:c>
      <x:c r="D16" s="17" t="str">
        <x:v>Owner</x:v>
      </x:c>
      <x:c r="E16" s="17" t="str">
        <x:v>Status</x:v>
      </x:c>
      <x:c r="F16" s="17" t="str">
        <x:v>Close Condition</x:v>
      </x:c>
    </x:row>
    <x:row r="17" ht="58" customHeight="1">
      <x:c r="A17" s="30" t="str">
        <x:v>Scope coverage</x:v>
      </x:c>
      <x:c r="B17" s="30" t="str">
        <x:v>All modules + cross-cutting capabilities</x:v>
      </x:c>
      <x:c r="C17" s="30" t="str">
        <x:v>39 items catalogued</x:v>
      </x:c>
      <x:c r="D17" s="30" t="str">
        <x:v>Architecture Governance</x:v>
      </x:c>
      <x:c r="E17" s="30" t="str">
        <x:v>DRAFT COMPLETE</x:v>
      </x:c>
      <x:c r="F17" s="30" t="str">
        <x:v>Review confirms no omitted capability</x:v>
      </x:c>
    </x:row>
    <x:row r="18" ht="58" customHeight="1">
      <x:c r="A18" s="30" t="str">
        <x:v>Scope fields</x:v>
      </x:c>
      <x:c r="B18" s="30" t="str">
        <x:v>IN/OUT/DEFERRED, MVP, authority, acceptance, owner</x:v>
      </x:c>
      <x:c r="C18" s="30" t="str">
        <x:v>Role owner complete; named owner unresolved</x:v>
      </x:c>
      <x:c r="D18" s="30" t="str">
        <x:v>Project Manager</x:v>
      </x:c>
      <x:c r="E18" s="30" t="str">
        <x:v>OPEN</x:v>
      </x:c>
      <x:c r="F18" s="30" t="str">
        <x:v>Named owners assigned</x:v>
      </x:c>
    </x:row>
    <x:row r="19" ht="58" customHeight="1">
      <x:c r="A19" s="30" t="str">
        <x:v>Authority ADR</x:v>
      </x:c>
      <x:c r="B19" s="30" t="str">
        <x:v>Decision-domain authority + conflict rule</x:v>
      </x:c>
      <x:c r="C19" s="30" t="str">
        <x:v>ADR-001 PROPOSED</x:v>
      </x:c>
      <x:c r="D19" s="30" t="str">
        <x:v>Architecture Governance</x:v>
      </x:c>
      <x:c r="E19" s="30" t="str">
        <x:v>PENDING REVIEW</x:v>
      </x:c>
      <x:c r="F19" s="30" t="str">
        <x:v>Approved ADR version recorded</x:v>
      </x:c>
    </x:row>
    <x:row r="20" ht="58" customHeight="1">
      <x:c r="A20" s="30" t="str">
        <x:v>Change control</x:v>
      </x:c>
      <x:c r="B20" s="30" t="str">
        <x:v>7 stages + 4 change classes</x:v>
      </x:c>
      <x:c r="C20" s="30" t="str">
        <x:v>Drafted</x:v>
      </x:c>
      <x:c r="D20" s="30" t="str">
        <x:v>Project Manager</x:v>
      </x:c>
      <x:c r="E20" s="30" t="str">
        <x:v>PENDING REVIEW</x:v>
      </x:c>
      <x:c r="F20" s="30" t="str">
        <x:v>Approvers and SLAs confirmed</x:v>
      </x:c>
    </x:row>
    <x:row r="21" ht="58" customHeight="1">
      <x:c r="A21" s="30" t="str">
        <x:v>Known conflicts</x:v>
      </x:c>
      <x:c r="B21" s="30" t="str">
        <x:v>Resolved or registered with owner/due date</x:v>
      </x:c>
      <x:c r="C21" s="30" t="str">
        <x:v>6 open decisions</x:v>
      </x:c>
      <x:c r="D21" s="30" t="str">
        <x:v>Decision Owners</x:v>
      </x:c>
      <x:c r="E21" s="30" t="str">
        <x:v>OPEN</x:v>
      </x:c>
      <x:c r="F21" s="30" t="str">
        <x:v>All resolved or formally accepted</x:v>
      </x:c>
    </x:row>
    <x:row r="22" ht="58" customHeight="1">
      <x:c r="A22" s="30" t="str">
        <x:v>Gate closure record</x:v>
      </x:c>
      <x:c r="B22" s="30" t="str">
        <x:v>Approver, ADR, version, closed at</x:v>
      </x:c>
      <x:c r="C22" s="30" t="str">
        <x:v>Not approved</x:v>
      </x:c>
      <x:c r="D22" s="30" t="str">
        <x:v>Gate Owner</x:v>
      </x:c>
      <x:c r="E22" s="30" t="str">
        <x:v>OPEN</x:v>
      </x:c>
      <x:c r="F22" s="30" t="str">
        <x:v>Formal review passes</x:v>
      </x:c>
    </x:row>
  </x:sheetData>
  <x:mergeCells>
    <x:mergeCell ref="A1:F1"/>
    <x:mergeCell ref="A2:F2"/>
    <x:mergeCell ref="A3:F3"/>
    <x:mergeCell ref="A15:F15"/>
  </x:mergeCells>
  <x:conditionalFormatting sqref="E17:E22">
    <x:cfRule type="containsText" dxfId="6" priority="1" operator="containsText" text="OPEN"/>
    <x:cfRule type="containsText" dxfId="7" priority="2" operator="containsText" text="COMPLETE"/>
  </x:conditionalFormatting>
  <x:pageMargins left="0.7" right="0.7" top="0.75" bottom="0.75" header="0.3" footer="0.3"/>
</x:worksheet>
</file>